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Prem ranjan\Desktop\"/>
    </mc:Choice>
  </mc:AlternateContent>
  <xr:revisionPtr revIDLastSave="0" documentId="13_ncr:1_{FE10CBCD-3441-494B-83A4-B84D502FB409}" xr6:coauthVersionLast="47" xr6:coauthVersionMax="47" xr10:uidLastSave="{00000000-0000-0000-0000-000000000000}"/>
  <bookViews>
    <workbookView xWindow="-120" yWindow="-120" windowWidth="19440" windowHeight="11565" activeTab="2" xr2:uid="{B51E7732-4E7B-438B-B3D4-AD67A0D80D67}"/>
  </bookViews>
  <sheets>
    <sheet name="Data" sheetId="1" r:id="rId1"/>
    <sheet name="Analysis" sheetId="2" r:id="rId2"/>
    <sheet name="Dashboard" sheetId="4" r:id="rId3"/>
  </sheets>
  <definedNames>
    <definedName name="_xlnm._FilterDatabase" localSheetId="1" hidden="1">Analysis!$A$60:$A$60</definedName>
    <definedName name="ExternalData_1" localSheetId="0" hidden="1">Data!$A$1:$G$104</definedName>
    <definedName name="Slicer_Continent">#N/A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 i="1" l="1"/>
  <c r="H2" i="1"/>
  <c r="H3" i="1"/>
  <c r="H4" i="1"/>
  <c r="H5" i="1"/>
  <c r="H6" i="1"/>
  <c r="H7" i="1"/>
  <c r="H8" i="1"/>
  <c r="H9" i="1"/>
  <c r="H10" i="1"/>
  <c r="H11" i="1"/>
  <c r="H12" i="1"/>
  <c r="H13" i="1"/>
  <c r="H14" i="1"/>
  <c r="H15" i="1"/>
  <c r="H16" i="1"/>
  <c r="H17" i="1"/>
  <c r="H18" i="1"/>
  <c r="H19" i="1"/>
  <c r="H20" i="1"/>
  <c r="H21" i="1"/>
  <c r="H22" i="1"/>
  <c r="H23" i="1"/>
  <c r="H24"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A34" i="2" l="1"/>
  <c r="A28" i="2"/>
  <c r="A3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916CF9-6E33-41C8-9A5A-6E0382F0C049}" keepAlive="1" name="Query - List of Countries by Sugarcane Production" description="Connection to the 'List of Countries by Sugarcane Production' query in the workbook." type="5" refreshedVersion="8" background="1" saveData="1">
    <dbPr connection="Provider=Microsoft.Mashup.OleDb.1;Data Source=$Workbook$;Location=&quot;List of Countries by Sugarcane Production&quot;;Extended Properties=&quot;&quot;" command="SELECT * FROM [List of Countries by Sugarcane Production]"/>
  </connection>
</connections>
</file>

<file path=xl/sharedStrings.xml><?xml version="1.0" encoding="utf-8"?>
<sst xmlns="http://schemas.openxmlformats.org/spreadsheetml/2006/main" count="376" uniqueCount="129">
  <si>
    <t>Serial No.</t>
  </si>
  <si>
    <t>Country</t>
  </si>
  <si>
    <t>Continent</t>
  </si>
  <si>
    <t>Production (Tons)</t>
  </si>
  <si>
    <t>Production per Person (Kg)</t>
  </si>
  <si>
    <t>Acreage (Hectare)</t>
  </si>
  <si>
    <t>Yield (Kg / Hectare)</t>
  </si>
  <si>
    <t>Brazil</t>
  </si>
  <si>
    <t>South America</t>
  </si>
  <si>
    <t>India</t>
  </si>
  <si>
    <t>Asia</t>
  </si>
  <si>
    <t>China</t>
  </si>
  <si>
    <t>Thailand</t>
  </si>
  <si>
    <t>Pakistan</t>
  </si>
  <si>
    <t>Mexico</t>
  </si>
  <si>
    <t>North America</t>
  </si>
  <si>
    <t>Colombia</t>
  </si>
  <si>
    <t>Australia</t>
  </si>
  <si>
    <t>Guatemala</t>
  </si>
  <si>
    <t>United States of America</t>
  </si>
  <si>
    <t>Indonesia</t>
  </si>
  <si>
    <t>Philippines</t>
  </si>
  <si>
    <t>Argentina</t>
  </si>
  <si>
    <t>Cuba</t>
  </si>
  <si>
    <t>Vietnam</t>
  </si>
  <si>
    <t>Egypt</t>
  </si>
  <si>
    <t>Africa</t>
  </si>
  <si>
    <t>South Africa</t>
  </si>
  <si>
    <t>Myanmar</t>
  </si>
  <si>
    <t>Peru</t>
  </si>
  <si>
    <t>Ecuador</t>
  </si>
  <si>
    <t>Iran</t>
  </si>
  <si>
    <t>El Salvador</t>
  </si>
  <si>
    <t>Kenya</t>
  </si>
  <si>
    <t>Bolivia</t>
  </si>
  <si>
    <t>Nicaragua</t>
  </si>
  <si>
    <t>Paraguay</t>
  </si>
  <si>
    <t>Swaziland</t>
  </si>
  <si>
    <t>Sudan</t>
  </si>
  <si>
    <t>Honduras</t>
  </si>
  <si>
    <t>Dominican Republic</t>
  </si>
  <si>
    <t>Nepal</t>
  </si>
  <si>
    <t>Zambia</t>
  </si>
  <si>
    <t>Bangladesh</t>
  </si>
  <si>
    <t>Costa Rica</t>
  </si>
  <si>
    <t>Mauritius</t>
  </si>
  <si>
    <t>Uganda</t>
  </si>
  <si>
    <t>Zimbabwe</t>
  </si>
  <si>
    <t>Venezuela</t>
  </si>
  <si>
    <t>Madagascar</t>
  </si>
  <si>
    <t>Tanzania</t>
  </si>
  <si>
    <t>Malawi</t>
  </si>
  <si>
    <t>Mozambique</t>
  </si>
  <si>
    <t>Panama</t>
  </si>
  <si>
    <t>Guyana</t>
  </si>
  <si>
    <t>Congo-Kinshasa</t>
  </si>
  <si>
    <t>Laos</t>
  </si>
  <si>
    <t>Côte d'Ivoire</t>
  </si>
  <si>
    <t>Japan</t>
  </si>
  <si>
    <t>Fiji</t>
  </si>
  <si>
    <t>Haiti</t>
  </si>
  <si>
    <t>Belize</t>
  </si>
  <si>
    <t>Jamaica</t>
  </si>
  <si>
    <t>Ethiopia</t>
  </si>
  <si>
    <t>Nigeria</t>
  </si>
  <si>
    <t>Cameroon</t>
  </si>
  <si>
    <t>Trinidad and Tobago</t>
  </si>
  <si>
    <t>Sri Lanka</t>
  </si>
  <si>
    <t>Senegal</t>
  </si>
  <si>
    <t>Congo-Brazzaville</t>
  </si>
  <si>
    <t>Cambodia</t>
  </si>
  <si>
    <t>Angola</t>
  </si>
  <si>
    <t>Burkina Faso</t>
  </si>
  <si>
    <t>Chad</t>
  </si>
  <si>
    <t>Morocco</t>
  </si>
  <si>
    <t>Taiwan</t>
  </si>
  <si>
    <t>Uruguay</t>
  </si>
  <si>
    <t>Mali</t>
  </si>
  <si>
    <t>Guinea</t>
  </si>
  <si>
    <t>Gabon</t>
  </si>
  <si>
    <t>Liberia</t>
  </si>
  <si>
    <t>Burundi</t>
  </si>
  <si>
    <t>Papua New Guinea</t>
  </si>
  <si>
    <t>Niger</t>
  </si>
  <si>
    <t>Somalia</t>
  </si>
  <si>
    <t>Ghana</t>
  </si>
  <si>
    <t>Suriname</t>
  </si>
  <si>
    <t>Central African Republic</t>
  </si>
  <si>
    <t>Saint Kitts and Nevis</t>
  </si>
  <si>
    <t>Rwanda</t>
  </si>
  <si>
    <t>Barbados</t>
  </si>
  <si>
    <t>Sierra Leone</t>
  </si>
  <si>
    <t>The Bahamas</t>
  </si>
  <si>
    <t>Cape Verde</t>
  </si>
  <si>
    <t>Saint Vincent and the Grenadines</t>
  </si>
  <si>
    <t>Afghanistan</t>
  </si>
  <si>
    <t>Bhutan</t>
  </si>
  <si>
    <t>Benin</t>
  </si>
  <si>
    <t>Iraq</t>
  </si>
  <si>
    <t>Saint Lucia</t>
  </si>
  <si>
    <t>Grenada</t>
  </si>
  <si>
    <t>Guinea-Bissau</t>
  </si>
  <si>
    <t>Malaysia</t>
  </si>
  <si>
    <t>Portugal</t>
  </si>
  <si>
    <t>Europe</t>
  </si>
  <si>
    <t>Antigua and Barbuda</t>
  </si>
  <si>
    <t>Dominica</t>
  </si>
  <si>
    <t>Oman</t>
  </si>
  <si>
    <t>Yemen</t>
  </si>
  <si>
    <t>Spain</t>
  </si>
  <si>
    <t>Lebanon</t>
  </si>
  <si>
    <t>Djibouti</t>
  </si>
  <si>
    <t>Singapore</t>
  </si>
  <si>
    <t>Samoa</t>
  </si>
  <si>
    <t>Syria</t>
  </si>
  <si>
    <t>Grand Total</t>
  </si>
  <si>
    <t>Total Production (Tons)</t>
  </si>
  <si>
    <t>Average Yield (Kg / Hectare)</t>
  </si>
  <si>
    <t>Total Acreage (Hectare)</t>
  </si>
  <si>
    <t>Total Production  of continent(Tons)</t>
  </si>
  <si>
    <t>percentage of Production (Tons)</t>
  </si>
  <si>
    <t>Average of Yield (Kg / Hectare)</t>
  </si>
  <si>
    <t>Filter</t>
  </si>
  <si>
    <t>Select Country</t>
  </si>
  <si>
    <t>Select All</t>
  </si>
  <si>
    <t>Average Yield (Kg/hectare)</t>
  </si>
  <si>
    <t>Total Countries</t>
  </si>
  <si>
    <t>Continents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</si>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</sst>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9">
    <fill>
      <patternFill patternType="none"/>
    </fill>
    <fill>
      <patternFill patternType="gray125"/>
    </fill>
    <fill>
      <patternFill patternType="solid">
        <fgColor theme="0"/>
        <bgColor theme="9" tint="0.79998168889431442"/>
      </patternFill>
    </fill>
    <fill>
      <patternFill patternType="solid">
        <fgColor theme="0"/>
        <bgColor indexed="64"/>
      </patternFill>
    </fill>
    <fill>
      <patternFill patternType="solid">
        <fgColor rgb="FFA6CAEC"/>
        <bgColor indexed="64"/>
      </patternFill>
    </fill>
    <fill>
      <gradientFill degree="90">
        <stop position="0">
          <color theme="0"/>
        </stop>
        <stop position="1">
          <color theme="5" tint="0.40000610370189521"/>
        </stop>
      </gradientFill>
    </fill>
    <fill>
      <gradientFill degree="90">
        <stop position="0">
          <color theme="0"/>
        </stop>
        <stop position="1">
          <color theme="0" tint="-0.34900967436750391"/>
        </stop>
      </gradientFill>
    </fill>
    <fill>
      <patternFill patternType="solid">
        <fgColor theme="7" tint="0.59999389629810485"/>
        <bgColor indexed="64"/>
      </patternFill>
    </fill>
    <fill>
      <patternFill patternType="solid">
        <fgColor theme="4" tint="0.59999389629810485"/>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43" fontId="2" fillId="0" borderId="0" applyFont="0" applyFill="0" applyBorder="0" applyAlignment="0" applyProtection="0"/>
  </cellStyleXfs>
  <cellXfs count="19">
    <xf numFmtId="0" fontId="0" fillId="0" borderId="0" xfId="0"/>
    <xf numFmtId="0" fontId="0" fillId="0" borderId="0" xfId="0" applyAlignment="1">
      <alignment horizontal="left"/>
    </xf>
    <xf numFmtId="0" fontId="0" fillId="0" borderId="0" xfId="0" pivotButton="1"/>
    <xf numFmtId="1" fontId="0" fillId="0" borderId="0" xfId="0" applyNumberFormat="1"/>
    <xf numFmtId="9" fontId="0" fillId="0" borderId="0" xfId="0" applyNumberFormat="1"/>
    <xf numFmtId="0" fontId="0" fillId="0" borderId="1" xfId="0" applyBorder="1"/>
    <xf numFmtId="0" fontId="0" fillId="2" borderId="1" xfId="0" applyFill="1" applyBorder="1"/>
    <xf numFmtId="0" fontId="0" fillId="3" borderId="1" xfId="0" applyFill="1" applyBorder="1"/>
    <xf numFmtId="0" fontId="0" fillId="4" borderId="0" xfId="0" applyFill="1"/>
    <xf numFmtId="164" fontId="0" fillId="0" borderId="0" xfId="1" applyNumberFormat="1" applyFont="1" applyAlignment="1">
      <alignment horizontal="right"/>
    </xf>
    <xf numFmtId="164" fontId="0" fillId="0" borderId="0" xfId="1" applyNumberFormat="1" applyFont="1"/>
    <xf numFmtId="0" fontId="1" fillId="7" borderId="0" xfId="0" applyFont="1" applyFill="1" applyAlignment="1">
      <alignment horizontal="left"/>
    </xf>
    <xf numFmtId="0" fontId="1" fillId="8" borderId="0" xfId="0" applyFont="1" applyFill="1"/>
    <xf numFmtId="0" fontId="0" fillId="4" borderId="0" xfId="0" applyFill="1" applyAlignment="1">
      <alignment horizontal="center"/>
    </xf>
    <xf numFmtId="0" fontId="1" fillId="5" borderId="2" xfId="0" applyFont="1" applyFill="1" applyBorder="1" applyAlignment="1">
      <alignment horizontal="center"/>
    </xf>
    <xf numFmtId="0" fontId="1" fillId="5" borderId="3" xfId="0" applyFont="1" applyFill="1" applyBorder="1" applyAlignment="1">
      <alignment horizontal="center"/>
    </xf>
    <xf numFmtId="0" fontId="0" fillId="6" borderId="4"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0" borderId="0" xfId="0" applyNumberFormat="1"/>
  </cellXfs>
  <cellStyles count="2">
    <cellStyle name="Comma" xfId="1" builtinId="3"/>
    <cellStyle name="Normal" xfId="0" builtinId="0"/>
  </cellStyles>
  <dxfs count="8">
    <dxf>
      <numFmt numFmtId="13" formatCode="0%"/>
    </dxf>
    <dxf>
      <numFmt numFmtId="165" formatCode="0.000%"/>
    </dxf>
    <dxf>
      <numFmt numFmtId="0" formatCode="General"/>
    </dxf>
    <dxf>
      <numFmt numFmtId="0" formatCode="General"/>
    </dxf>
    <dxf>
      <numFmt numFmtId="0" formatCode="General"/>
    </dxf>
    <dxf>
      <font>
        <b/>
        <color theme="1"/>
      </font>
      <border>
        <bottom style="thin">
          <color theme="5"/>
        </bottom>
        <vertical/>
        <horizontal/>
      </border>
    </dxf>
    <dxf>
      <font>
        <color theme="1"/>
      </font>
      <fill>
        <patternFill patternType="none">
          <bgColor auto="1"/>
        </patternFill>
      </fill>
      <border diagonalUp="0" diagonalDown="0">
        <left/>
        <right/>
        <top/>
        <bottom/>
        <vertical/>
        <horizontal/>
      </border>
    </dxf>
    <dxf>
      <font>
        <b val="0"/>
        <i val="0"/>
        <strike val="0"/>
        <u val="none"/>
        <sz val="11"/>
        <color theme="1"/>
      </font>
      <fill>
        <patternFill>
          <bgColor theme="0"/>
        </patternFill>
      </fill>
      <border diagonalUp="0" diagonalDown="0">
        <left/>
        <right/>
        <top/>
        <bottom/>
        <vertical/>
        <horizontal/>
      </border>
    </dxf>
  </dxfs>
  <tableStyles count="2" defaultTableStyle="TableStyleMedium2" defaultPivotStyle="PivotStyleLight16">
    <tableStyle name="my style" pivot="0" table="0" count="1" xr9:uid="{D5E58103-E086-4CDC-B237-B2A835332ED1}">
      <tableStyleElement type="wholeTable" dxfId="7"/>
    </tableStyle>
    <tableStyle name="SlicerStyleDark2 2" pivot="0" table="0" count="10" xr9:uid="{014968F7-458C-4074-A062-3B4B6FECE890}">
      <tableStyleElement type="wholeTable" dxfId="6"/>
      <tableStyleElement type="headerRow" dxfId="5"/>
    </tableStyle>
  </tableStyles>
  <colors>
    <mruColors>
      <color rgb="FF29C7FF"/>
      <color rgb="FF00B9FA"/>
      <color rgb="FF19C3FF"/>
      <color rgb="FF00B0F0"/>
      <color rgb="FF4A56B0"/>
      <color rgb="FF3D4793"/>
      <color rgb="FF44369A"/>
      <color rgb="FFEADBB0"/>
      <color rgb="FFA62A2A"/>
      <color rgb="FFB0D65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[sugarcane_production_Dashboard.xlsx]Analysis!PivotTable6</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A56B0"/>
          </a:solidFill>
          <a:ln>
            <a:noFill/>
          </a:ln>
          <a:effectLst/>
        </c:spPr>
        <c:marker>
          <c:symbol val="none"/>
        </c:marker>
        <c:dLbl>
          <c:idx val="0"/>
          <c:spPr>
            <a:solidFill>
              <a:srgbClr val="29C7FF"/>
            </a:solid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A56B0"/>
          </a:solidFill>
          <a:ln>
            <a:noFill/>
          </a:ln>
          <a:effectLst>
            <a:softEdge rad="0"/>
          </a:effectLst>
        </c:spPr>
      </c:pivotFmt>
    </c:pivotFmts>
    <c:plotArea>
      <c:layout>
        <c:manualLayout>
          <c:layoutTarget val="inner"/>
          <c:xMode val="edge"/>
          <c:yMode val="edge"/>
          <c:x val="4.9940392964898078E-2"/>
          <c:y val="0.22039417665007835"/>
          <c:w val="0.91642922476590316"/>
          <c:h val="0.60446767718508376"/>
        </c:manualLayout>
      </c:layout>
      <c:barChart>
        <c:barDir val="col"/>
        <c:grouping val="clustered"/>
        <c:varyColors val="0"/>
        <c:ser>
          <c:idx val="0"/>
          <c:order val="0"/>
          <c:tx>
            <c:strRef>
              <c:f>Analysis!$E$1</c:f>
              <c:strCache>
                <c:ptCount val="1"/>
                <c:pt idx="0">
                  <c:v>Total</c:v>
                </c:pt>
              </c:strCache>
            </c:strRef>
          </c:tx>
          <c:spPr>
            <a:solidFill>
              <a:srgbClr val="4A56B0"/>
            </a:solidFill>
            <a:ln>
              <a:noFill/>
            </a:ln>
            <a:effectLst/>
          </c:spPr>
          <c:invertIfNegative val="0"/>
          <c:dPt>
            <c:idx val="0"/>
            <c:invertIfNegative val="0"/>
            <c:bubble3D val="0"/>
            <c:spPr>
              <a:solidFill>
                <a:srgbClr val="4A56B0"/>
              </a:solidFill>
              <a:ln>
                <a:noFill/>
              </a:ln>
              <a:effectLst>
                <a:softEdge rad="0"/>
              </a:effectLst>
            </c:spPr>
            <c:extLst>
              <c:ext xmlns:c16="http://schemas.microsoft.com/office/drawing/2014/chart" uri="{C3380CC4-5D6E-409C-BE32-E72D297353CC}">
                <c16:uniqueId val="{00000001-A582-446D-8DB0-396418315C66}"/>
              </c:ext>
            </c:extLst>
          </c:dPt>
          <c:dLbls>
            <c:spPr>
              <a:solidFill>
                <a:srgbClr val="29C7FF"/>
              </a:solid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Analysis!$D$2:$D$7</c:f>
              <c:strCache>
                <c:ptCount val="5"/>
                <c:pt idx="0">
                  <c:v>Brazil</c:v>
                </c:pt>
                <c:pt idx="1">
                  <c:v>India</c:v>
                </c:pt>
                <c:pt idx="2">
                  <c:v>China</c:v>
                </c:pt>
                <c:pt idx="3">
                  <c:v>Thailand</c:v>
                </c:pt>
                <c:pt idx="4">
                  <c:v>Pakistan</c:v>
                </c:pt>
              </c:strCache>
            </c:strRef>
          </c:cat>
          <c:val>
            <c:numRef>
              <c:f>Analysis!$E$2:$E$7</c:f>
              <c:numCache>
                <c:formatCode>General</c:formatCode>
                <c:ptCount val="5"/>
                <c:pt idx="0">
                  <c:v>10226205</c:v>
                </c:pt>
                <c:pt idx="1">
                  <c:v>4950000</c:v>
                </c:pt>
                <c:pt idx="2">
                  <c:v>1675215</c:v>
                </c:pt>
                <c:pt idx="3">
                  <c:v>1336575</c:v>
                </c:pt>
                <c:pt idx="4">
                  <c:v>1130820</c:v>
                </c:pt>
              </c:numCache>
            </c:numRef>
          </c:val>
          <c:extLst>
            <c:ext xmlns:c16="http://schemas.microsoft.com/office/drawing/2014/chart" uri="{C3380CC4-5D6E-409C-BE32-E72D297353CC}">
              <c16:uniqueId val="{00000000-A582-446D-8DB0-396418315C66}"/>
            </c:ext>
          </c:extLst>
        </c:ser>
        <c:dLbls>
          <c:showLegendKey val="0"/>
          <c:showVal val="0"/>
          <c:showCatName val="0"/>
          <c:showSerName val="0"/>
          <c:showPercent val="0"/>
          <c:showBubbleSize val="0"/>
        </c:dLbls>
        <c:gapWidth val="150"/>
        <c:axId val="338951775"/>
        <c:axId val="338935455"/>
      </c:barChart>
      <c:catAx>
        <c:axId val="33895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338935455"/>
        <c:crosses val="autoZero"/>
        <c:auto val="1"/>
        <c:lblAlgn val="ctr"/>
        <c:lblOffset val="100"/>
        <c:noMultiLvlLbl val="0"/>
      </c:catAx>
      <c:valAx>
        <c:axId val="338935455"/>
        <c:scaling>
          <c:orientation val="minMax"/>
        </c:scaling>
        <c:delete val="1"/>
        <c:axPos val="l"/>
        <c:numFmt formatCode="General" sourceLinked="1"/>
        <c:majorTickMark val="none"/>
        <c:minorTickMark val="none"/>
        <c:tickLblPos val="nextTo"/>
        <c:crossAx val="338951775"/>
        <c:crosses val="autoZero"/>
        <c:crossBetween val="between"/>
      </c:valAx>
      <c:spPr>
        <a:solidFill>
          <a:schemeClr val="bg1"/>
        </a:solidFill>
        <a:ln>
          <a:noFill/>
        </a:ln>
        <a:effectLst>
          <a:outerShdw blurRad="88900" dist="50800" dir="5400000" sx="8000" sy="8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lgn="ct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[sugarcane_production_Dashboard.xlsx]Analysis!PivotTable4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A56B0"/>
          </a:solidFill>
          <a:ln>
            <a:noFill/>
          </a:ln>
          <a:effectLst/>
        </c:spPr>
        <c:marker>
          <c:symbol val="none"/>
        </c:marker>
        <c:dLbl>
          <c:idx val="0"/>
          <c:spPr>
            <a:solidFill>
              <a:srgbClr val="29C7FF">
                <a:alpha val="98824"/>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33150424185641"/>
          <c:y val="0.18180555555555555"/>
          <c:w val="0.75535550593489265"/>
          <c:h val="0.76958333333333329"/>
        </c:manualLayout>
      </c:layout>
      <c:barChart>
        <c:barDir val="bar"/>
        <c:grouping val="clustered"/>
        <c:varyColors val="0"/>
        <c:ser>
          <c:idx val="0"/>
          <c:order val="0"/>
          <c:tx>
            <c:strRef>
              <c:f>Analysis!$B$1</c:f>
              <c:strCache>
                <c:ptCount val="1"/>
                <c:pt idx="0">
                  <c:v>Total</c:v>
                </c:pt>
              </c:strCache>
            </c:strRef>
          </c:tx>
          <c:spPr>
            <a:solidFill>
              <a:srgbClr val="4A56B0"/>
            </a:solidFill>
            <a:ln>
              <a:noFill/>
            </a:ln>
            <a:effectLst/>
          </c:spPr>
          <c:invertIfNegative val="0"/>
          <c:dLbls>
            <c:spPr>
              <a:solidFill>
                <a:srgbClr val="29C7FF">
                  <a:alpha val="98824"/>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Analysis!$A$2:$A$7</c:f>
              <c:strCache>
                <c:ptCount val="5"/>
                <c:pt idx="0">
                  <c:v>Pakistan</c:v>
                </c:pt>
                <c:pt idx="1">
                  <c:v>Thailand</c:v>
                </c:pt>
                <c:pt idx="2">
                  <c:v>China</c:v>
                </c:pt>
                <c:pt idx="3">
                  <c:v>India</c:v>
                </c:pt>
                <c:pt idx="4">
                  <c:v>Brazil</c:v>
                </c:pt>
              </c:strCache>
            </c:strRef>
          </c:cat>
          <c:val>
            <c:numRef>
              <c:f>Analysis!$B$2:$B$7</c:f>
              <c:numCache>
                <c:formatCode>General</c:formatCode>
                <c:ptCount val="5"/>
                <c:pt idx="0">
                  <c:v>65450704</c:v>
                </c:pt>
                <c:pt idx="1">
                  <c:v>87468496</c:v>
                </c:pt>
                <c:pt idx="2">
                  <c:v>123059739</c:v>
                </c:pt>
                <c:pt idx="3">
                  <c:v>348448000</c:v>
                </c:pt>
                <c:pt idx="4">
                  <c:v>768678382</c:v>
                </c:pt>
              </c:numCache>
            </c:numRef>
          </c:val>
          <c:extLst>
            <c:ext xmlns:c16="http://schemas.microsoft.com/office/drawing/2014/chart" uri="{C3380CC4-5D6E-409C-BE32-E72D297353CC}">
              <c16:uniqueId val="{00000000-0DA4-4776-924E-27218B7BB41D}"/>
            </c:ext>
          </c:extLst>
        </c:ser>
        <c:dLbls>
          <c:showLegendKey val="0"/>
          <c:showVal val="0"/>
          <c:showCatName val="0"/>
          <c:showSerName val="0"/>
          <c:showPercent val="0"/>
          <c:showBubbleSize val="0"/>
        </c:dLbls>
        <c:gapWidth val="30"/>
        <c:axId val="338930175"/>
        <c:axId val="338931615"/>
      </c:barChart>
      <c:catAx>
        <c:axId val="338930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8931615"/>
        <c:crosses val="autoZero"/>
        <c:auto val="1"/>
        <c:lblAlgn val="ctr"/>
        <c:lblOffset val="100"/>
        <c:noMultiLvlLbl val="0"/>
      </c:catAx>
      <c:valAx>
        <c:axId val="338931615"/>
        <c:scaling>
          <c:orientation val="minMax"/>
        </c:scaling>
        <c:delete val="1"/>
        <c:axPos val="b"/>
        <c:numFmt formatCode="General" sourceLinked="1"/>
        <c:majorTickMark val="none"/>
        <c:minorTickMark val="none"/>
        <c:tickLblPos val="nextTo"/>
        <c:crossAx val="338930175"/>
        <c:crosses val="autoZero"/>
        <c:crossBetween val="between"/>
      </c:valAx>
      <c:spPr>
        <a:noFill/>
        <a:ln>
          <a:noFill/>
        </a:ln>
        <a:effectLst>
          <a:outerShdw blurRad="76200" dist="50800" dir="5400000" sx="1000" sy="1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[sugarcane_production_Dashboard.xlsx]Analysis!PivotTable1</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Production Share by Continent</a:t>
            </a:r>
          </a:p>
        </c:rich>
      </c:tx>
      <c:layout>
        <c:manualLayout>
          <c:xMode val="edge"/>
          <c:yMode val="edge"/>
          <c:x val="0.11012475721792597"/>
          <c:y val="1.3328097982255099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outerShdw blurRad="254000" sx="102000" sy="102000" algn="ctr" rotWithShape="0">
              <a:prstClr val="black">
                <a:alpha val="20000"/>
              </a:prstClr>
            </a:outerShdw>
          </a:effectLst>
          <a:sp3d/>
        </c:spPr>
        <c:dLbl>
          <c:idx val="0"/>
          <c:layout>
            <c:manualLayout>
              <c:x val="-5.6940726159230147E-2"/>
              <c:y val="-0.22095217264508604"/>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4"/>
          </a:solidFill>
          <a:ln>
            <a:noFill/>
          </a:ln>
          <a:effectLst>
            <a:outerShdw blurRad="254000" sx="102000" sy="102000" algn="ctr" rotWithShape="0">
              <a:prstClr val="black">
                <a:alpha val="20000"/>
              </a:prstClr>
            </a:outerShdw>
          </a:effectLst>
          <a:sp3d/>
        </c:spPr>
        <c:dLbl>
          <c:idx val="0"/>
          <c:layout>
            <c:manualLayout>
              <c:x val="-5.1817585301837266E-3"/>
              <c:y val="-0.24784120734908144"/>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5"/>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dLbl>
          <c:idx val="0"/>
          <c:layout>
            <c:manualLayout>
              <c:x val="-5.6940726159230147E-2"/>
              <c:y val="-0.22095217264508604"/>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dLbl>
          <c:idx val="0"/>
          <c:layout>
            <c:manualLayout>
              <c:x val="-5.1817585301837266E-3"/>
              <c:y val="-0.24784120734908144"/>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dLbl>
          <c:idx val="0"/>
          <c:layout>
            <c:manualLayout>
              <c:x val="-4.686513682011411E-2"/>
              <c:y val="-0.18491602701096074"/>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a:sp3d/>
        </c:spPr>
        <c:dLbl>
          <c:idx val="0"/>
          <c:layout>
            <c:manualLayout>
              <c:x val="-1.8615733486714664E-2"/>
              <c:y val="-0.19378694936839971"/>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a:sp3d/>
        </c:spPr>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
        <c:idx val="27"/>
        <c:spPr>
          <a:solidFill>
            <a:schemeClr val="accent1"/>
          </a:solidFill>
          <a:ln>
            <a:noFill/>
          </a:ln>
          <a:effectLst>
            <a:outerShdw blurRad="254000" sx="102000" sy="102000" algn="ctr" rotWithShape="0">
              <a:prstClr val="black">
                <a:alpha val="20000"/>
              </a:prstClr>
            </a:outerShdw>
          </a:effectLst>
          <a:sp3d/>
        </c:spPr>
      </c:pivotFmt>
      <c:pivotFmt>
        <c:idx val="2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703431813782961E-3"/>
          <c:y val="0.1808479588954949"/>
          <c:w val="0.83217659946327893"/>
          <c:h val="0.77983336465445108"/>
        </c:manualLayout>
      </c:layout>
      <c:pie3DChart>
        <c:varyColors val="1"/>
        <c:ser>
          <c:idx val="0"/>
          <c:order val="0"/>
          <c:tx>
            <c:strRef>
              <c:f>Analysis!$F$9</c:f>
              <c:strCache>
                <c:ptCount val="1"/>
                <c:pt idx="0">
                  <c:v>Total Production  of continent(Tons)</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9AD-4BC9-8562-B3EE8926A0F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9AD-4BC9-8562-B3EE8926A0F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9AD-4BC9-8562-B3EE8926A0F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69AD-4BC9-8562-B3EE8926A0FC}"/>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69AD-4BC9-8562-B3EE8926A0FC}"/>
              </c:ext>
            </c:extLst>
          </c:dPt>
          <c:dLbls>
            <c:dLbl>
              <c:idx val="2"/>
              <c:layout>
                <c:manualLayout>
                  <c:x val="-4.686513682011411E-2"/>
                  <c:y val="-0.1849160270109607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9AD-4BC9-8562-B3EE8926A0FC}"/>
                </c:ext>
              </c:extLst>
            </c:dLbl>
            <c:dLbl>
              <c:idx val="3"/>
              <c:layout>
                <c:manualLayout>
                  <c:x val="-1.8615733486714664E-2"/>
                  <c:y val="-0.1937869493683997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9AD-4BC9-8562-B3EE8926A0FC}"/>
                </c:ext>
              </c:extLst>
            </c:dLbl>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Analysis!$E$10:$E$15</c:f>
              <c:strCache>
                <c:ptCount val="5"/>
                <c:pt idx="0">
                  <c:v>Africa</c:v>
                </c:pt>
                <c:pt idx="1">
                  <c:v>Asia</c:v>
                </c:pt>
                <c:pt idx="2">
                  <c:v>Australia</c:v>
                </c:pt>
                <c:pt idx="3">
                  <c:v>North America</c:v>
                </c:pt>
                <c:pt idx="4">
                  <c:v>South America</c:v>
                </c:pt>
              </c:strCache>
            </c:strRef>
          </c:cat>
          <c:val>
            <c:numRef>
              <c:f>Analysis!$F$10:$F$15</c:f>
              <c:numCache>
                <c:formatCode>General</c:formatCode>
                <c:ptCount val="5"/>
                <c:pt idx="0">
                  <c:v>89681525</c:v>
                </c:pt>
                <c:pt idx="1">
                  <c:v>721930425</c:v>
                </c:pt>
                <c:pt idx="2">
                  <c:v>36177574</c:v>
                </c:pt>
                <c:pt idx="3">
                  <c:v>173995947</c:v>
                </c:pt>
                <c:pt idx="4">
                  <c:v>865588126</c:v>
                </c:pt>
              </c:numCache>
            </c:numRef>
          </c:val>
          <c:extLst>
            <c:ext xmlns:c16="http://schemas.microsoft.com/office/drawing/2014/chart" uri="{C3380CC4-5D6E-409C-BE32-E72D297353CC}">
              <c16:uniqueId val="{0000000A-69AD-4BC9-8562-B3EE8926A0FC}"/>
            </c:ext>
          </c:extLst>
        </c:ser>
        <c:ser>
          <c:idx val="1"/>
          <c:order val="1"/>
          <c:tx>
            <c:strRef>
              <c:f>Analysis!$G$9</c:f>
              <c:strCache>
                <c:ptCount val="1"/>
                <c:pt idx="0">
                  <c:v>percentage of Production (Tons)</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C-69AD-4BC9-8562-B3EE8926A0F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E-69AD-4BC9-8562-B3EE8926A0F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69AD-4BC9-8562-B3EE8926A0F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2-69AD-4BC9-8562-B3EE8926A0FC}"/>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4-69AD-4BC9-8562-B3EE8926A0F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Analysis!$E$10:$E$15</c:f>
              <c:strCache>
                <c:ptCount val="5"/>
                <c:pt idx="0">
                  <c:v>Africa</c:v>
                </c:pt>
                <c:pt idx="1">
                  <c:v>Asia</c:v>
                </c:pt>
                <c:pt idx="2">
                  <c:v>Australia</c:v>
                </c:pt>
                <c:pt idx="3">
                  <c:v>North America</c:v>
                </c:pt>
                <c:pt idx="4">
                  <c:v>South America</c:v>
                </c:pt>
              </c:strCache>
            </c:strRef>
          </c:cat>
          <c:val>
            <c:numRef>
              <c:f>Analysis!$G$10:$G$15</c:f>
              <c:numCache>
                <c:formatCode>0%</c:formatCode>
                <c:ptCount val="5"/>
                <c:pt idx="0">
                  <c:v>4.7516572840983748E-2</c:v>
                </c:pt>
                <c:pt idx="1">
                  <c:v>0.38250531116230296</c:v>
                </c:pt>
                <c:pt idx="2">
                  <c:v>1.9168210288362957E-2</c:v>
                </c:pt>
                <c:pt idx="3">
                  <c:v>9.2189456966319958E-2</c:v>
                </c:pt>
                <c:pt idx="4">
                  <c:v>0.4586204487420304</c:v>
                </c:pt>
              </c:numCache>
            </c:numRef>
          </c:val>
          <c:extLst>
            <c:ext xmlns:c16="http://schemas.microsoft.com/office/drawing/2014/chart" uri="{C3380CC4-5D6E-409C-BE32-E72D297353CC}">
              <c16:uniqueId val="{00000015-69AD-4BC9-8562-B3EE8926A0FC}"/>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0302282969345808"/>
          <c:y val="0.24010208934602556"/>
          <c:w val="0.29257960679443373"/>
          <c:h val="0.5771106645142161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ln>
                <a:noFill/>
              </a:ln>
              <a:solidFill>
                <a:schemeClr val="dk1">
                  <a:lumMod val="75000"/>
                  <a:lumOff val="25000"/>
                </a:schemeClr>
              </a:solidFill>
              <a:effectLst>
                <a:glow>
                  <a:schemeClr val="accent1">
                    <a:alpha val="41000"/>
                  </a:schemeClr>
                </a:glo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[sugarcane_production_Dashboard.xlsx]Analysis!PivotTable7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A56B0"/>
          </a:solidFill>
          <a:ln>
            <a:noFill/>
          </a:ln>
          <a:effectLst/>
        </c:spPr>
        <c:marker>
          <c:symbol val="none"/>
        </c:marker>
        <c:dLbl>
          <c:idx val="0"/>
          <c:spPr>
            <a:solidFill>
              <a:srgbClr val="00B0F0"/>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A56B0"/>
          </a:solidFill>
          <a:ln>
            <a:noFill/>
          </a:ln>
          <a:effectLst/>
        </c:spPr>
        <c:marker>
          <c:symbol val="none"/>
        </c:marker>
        <c:dLbl>
          <c:idx val="0"/>
          <c:spPr>
            <a:solidFill>
              <a:srgbClr val="19C3FF"/>
            </a:solid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53565252503974"/>
          <c:y val="0.19301055268544573"/>
          <c:w val="0.70724918582501606"/>
          <c:h val="0.7525674721921658"/>
        </c:manualLayout>
      </c:layout>
      <c:barChart>
        <c:barDir val="bar"/>
        <c:grouping val="clustered"/>
        <c:varyColors val="0"/>
        <c:ser>
          <c:idx val="0"/>
          <c:order val="0"/>
          <c:tx>
            <c:strRef>
              <c:f>Analysis!$B$18</c:f>
              <c:strCache>
                <c:ptCount val="1"/>
                <c:pt idx="0">
                  <c:v>Total</c:v>
                </c:pt>
              </c:strCache>
            </c:strRef>
          </c:tx>
          <c:spPr>
            <a:solidFill>
              <a:srgbClr val="4A56B0"/>
            </a:solidFill>
            <a:ln>
              <a:noFill/>
            </a:ln>
            <a:effectLst/>
          </c:spPr>
          <c:invertIfNegative val="0"/>
          <c:dLbls>
            <c:spPr>
              <a:solidFill>
                <a:srgbClr val="19C3FF"/>
              </a:solid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Analysis!$A$19:$A$24</c:f>
              <c:strCache>
                <c:ptCount val="5"/>
                <c:pt idx="0">
                  <c:v>Malawi</c:v>
                </c:pt>
                <c:pt idx="1">
                  <c:v>Peru</c:v>
                </c:pt>
                <c:pt idx="2">
                  <c:v>Egypt</c:v>
                </c:pt>
                <c:pt idx="3">
                  <c:v>Senegal</c:v>
                </c:pt>
                <c:pt idx="4">
                  <c:v>Guatemala</c:v>
                </c:pt>
              </c:strCache>
            </c:strRef>
          </c:cat>
          <c:val>
            <c:numRef>
              <c:f>Analysis!$B$19:$B$24</c:f>
              <c:numCache>
                <c:formatCode>General</c:formatCode>
                <c:ptCount val="5"/>
                <c:pt idx="0">
                  <c:v>107630</c:v>
                </c:pt>
                <c:pt idx="1">
                  <c:v>112120</c:v>
                </c:pt>
                <c:pt idx="2">
                  <c:v>115031</c:v>
                </c:pt>
                <c:pt idx="3">
                  <c:v>118085</c:v>
                </c:pt>
                <c:pt idx="4">
                  <c:v>129049</c:v>
                </c:pt>
              </c:numCache>
            </c:numRef>
          </c:val>
          <c:extLst>
            <c:ext xmlns:c16="http://schemas.microsoft.com/office/drawing/2014/chart" uri="{C3380CC4-5D6E-409C-BE32-E72D297353CC}">
              <c16:uniqueId val="{00000000-408A-4E0E-B07F-6CAEFF385327}"/>
            </c:ext>
          </c:extLst>
        </c:ser>
        <c:dLbls>
          <c:showLegendKey val="0"/>
          <c:showVal val="0"/>
          <c:showCatName val="0"/>
          <c:showSerName val="0"/>
          <c:showPercent val="0"/>
          <c:showBubbleSize val="0"/>
        </c:dLbls>
        <c:gapWidth val="30"/>
        <c:axId val="148463"/>
        <c:axId val="141743"/>
      </c:barChart>
      <c:catAx>
        <c:axId val="148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crossAx val="141743"/>
        <c:crosses val="autoZero"/>
        <c:auto val="1"/>
        <c:lblAlgn val="ctr"/>
        <c:lblOffset val="100"/>
        <c:noMultiLvlLbl val="0"/>
      </c:catAx>
      <c:valAx>
        <c:axId val="141743"/>
        <c:scaling>
          <c:orientation val="minMax"/>
        </c:scaling>
        <c:delete val="1"/>
        <c:axPos val="b"/>
        <c:numFmt formatCode="General" sourceLinked="1"/>
        <c:majorTickMark val="none"/>
        <c:minorTickMark val="none"/>
        <c:tickLblPos val="nextTo"/>
        <c:crossAx val="148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2.wdp"/><Relationship Id="rId13" Type="http://schemas.openxmlformats.org/officeDocument/2006/relationships/image" Target="../media/image7.png"/><Relationship Id="rId18" Type="http://schemas.openxmlformats.org/officeDocument/2006/relationships/image" Target="../media/image11.png"/><Relationship Id="rId3" Type="http://schemas.openxmlformats.org/officeDocument/2006/relationships/chart" Target="../charts/chart1.xml"/><Relationship Id="rId7" Type="http://schemas.openxmlformats.org/officeDocument/2006/relationships/image" Target="../media/image2.png"/><Relationship Id="rId12" Type="http://schemas.openxmlformats.org/officeDocument/2006/relationships/image" Target="../media/image6.png"/><Relationship Id="rId17" Type="http://schemas.openxmlformats.org/officeDocument/2006/relationships/image" Target="../media/image10.svg"/><Relationship Id="rId2" Type="http://schemas.microsoft.com/office/2007/relationships/hdphoto" Target="../media/hdphoto1.wdp"/><Relationship Id="rId16" Type="http://schemas.openxmlformats.org/officeDocument/2006/relationships/image" Target="../media/image9.svg"/><Relationship Id="rId20" Type="http://schemas.openxmlformats.org/officeDocument/2006/relationships/image" Target="../media/image13.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5.png"/><Relationship Id="rId5" Type="http://schemas.openxmlformats.org/officeDocument/2006/relationships/chart" Target="../charts/chart3.xml"/><Relationship Id="rId15" Type="http://schemas.openxmlformats.org/officeDocument/2006/relationships/image" Target="../media/image8.png"/><Relationship Id="rId10" Type="http://schemas.openxmlformats.org/officeDocument/2006/relationships/image" Target="../media/image4.png"/><Relationship Id="rId19" Type="http://schemas.openxmlformats.org/officeDocument/2006/relationships/image" Target="../media/image12.png"/><Relationship Id="rId4" Type="http://schemas.openxmlformats.org/officeDocument/2006/relationships/chart" Target="../charts/chart2.xml"/><Relationship Id="rId9" Type="http://schemas.openxmlformats.org/officeDocument/2006/relationships/image" Target="../media/image3.png"/><Relationship Id="rId14" Type="http://schemas.microsoft.com/office/2007/relationships/hdphoto" Target="../media/hdphoto3.wdp"/></Relationships>
</file>

<file path=xl/drawings/drawing1.xml><?xml version="1.0" encoding="utf-8"?>
<xdr:wsDr xmlns:xdr="http://schemas.openxmlformats.org/drawingml/2006/spreadsheetDrawing" xmlns:a="http://schemas.openxmlformats.org/drawingml/2006/main">
  <xdr:twoCellAnchor>
    <xdr:from>
      <xdr:col>0</xdr:col>
      <xdr:colOff>18109</xdr:colOff>
      <xdr:row>0</xdr:row>
      <xdr:rowOff>17167</xdr:rowOff>
    </xdr:from>
    <xdr:to>
      <xdr:col>19</xdr:col>
      <xdr:colOff>133351</xdr:colOff>
      <xdr:row>23</xdr:row>
      <xdr:rowOff>36216</xdr:rowOff>
    </xdr:to>
    <xdr:sp macro="" textlink="">
      <xdr:nvSpPr>
        <xdr:cNvPr id="2" name="Rectangle 1">
          <a:extLst>
            <a:ext uri="{FF2B5EF4-FFF2-40B4-BE49-F238E27FC236}">
              <a16:creationId xmlns:a16="http://schemas.microsoft.com/office/drawing/2014/main" id="{228231BB-B6E3-7BE7-A742-C59158702B87}"/>
            </a:ext>
          </a:extLst>
        </xdr:cNvPr>
        <xdr:cNvSpPr/>
      </xdr:nvSpPr>
      <xdr:spPr>
        <a:xfrm>
          <a:off x="18109" y="17167"/>
          <a:ext cx="11697642" cy="4362449"/>
        </a:xfrm>
        <a:prstGeom prst="rect">
          <a:avLst/>
        </a:prstGeom>
        <a:no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IN" sz="1100"/>
            <a:t>please </a:t>
          </a:r>
        </a:p>
      </xdr:txBody>
    </xdr:sp>
    <xdr:clientData/>
  </xdr:twoCellAnchor>
  <xdr:twoCellAnchor editAs="oneCell">
    <xdr:from>
      <xdr:col>0</xdr:col>
      <xdr:colOff>28575</xdr:colOff>
      <xdr:row>0</xdr:row>
      <xdr:rowOff>28575</xdr:rowOff>
    </xdr:from>
    <xdr:to>
      <xdr:col>19</xdr:col>
      <xdr:colOff>123824</xdr:colOff>
      <xdr:row>3</xdr:row>
      <xdr:rowOff>57150</xdr:rowOff>
    </xdr:to>
    <xdr:pic>
      <xdr:nvPicPr>
        <xdr:cNvPr id="14" name="Picture 13">
          <a:extLst>
            <a:ext uri="{FF2B5EF4-FFF2-40B4-BE49-F238E27FC236}">
              <a16:creationId xmlns:a16="http://schemas.microsoft.com/office/drawing/2014/main" id="{D0360F04-3C68-7CFB-4E17-17A3F659FE0E}"/>
            </a:ext>
          </a:extLst>
        </xdr:cNvPr>
        <xdr:cNvPicPr>
          <a:picLocks noChangeAspect="1"/>
        </xdr:cNvPicPr>
      </xdr:nvPicPr>
      <xdr:blipFill>
        <a:blip xmlns:r="http://schemas.openxmlformats.org/officeDocument/2006/relationships" r:embed="rId1" cstate="print">
          <a:alphaModFix/>
          <a:extLst>
            <a:ext uri="{BEBA8EAE-BF5A-486C-A8C5-ECC9F3942E4B}">
              <a14:imgProps xmlns:a14="http://schemas.microsoft.com/office/drawing/2010/main">
                <a14:imgLayer r:embed="rId2">
                  <a14:imgEffect>
                    <a14:colorTemperature colorTemp="7200"/>
                  </a14:imgEffect>
                  <a14:imgEffect>
                    <a14:saturation sat="200000"/>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28575" y="28575"/>
          <a:ext cx="11677649" cy="600075"/>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238125</xdr:colOff>
      <xdr:row>0</xdr:row>
      <xdr:rowOff>66675</xdr:rowOff>
    </xdr:from>
    <xdr:to>
      <xdr:col>19</xdr:col>
      <xdr:colOff>123825</xdr:colOff>
      <xdr:row>1</xdr:row>
      <xdr:rowOff>161924</xdr:rowOff>
    </xdr:to>
    <xdr:sp macro="" textlink="">
      <xdr:nvSpPr>
        <xdr:cNvPr id="16" name="TextBox 15">
          <a:extLst>
            <a:ext uri="{FF2B5EF4-FFF2-40B4-BE49-F238E27FC236}">
              <a16:creationId xmlns:a16="http://schemas.microsoft.com/office/drawing/2014/main" id="{CBA42A71-589D-328B-D4D3-56A22B45BAF7}"/>
            </a:ext>
          </a:extLst>
        </xdr:cNvPr>
        <xdr:cNvSpPr txBox="1"/>
      </xdr:nvSpPr>
      <xdr:spPr>
        <a:xfrm>
          <a:off x="238125" y="66675"/>
          <a:ext cx="11468100"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rtlCol="0" anchor="t"/>
        <a:lstStyle/>
        <a:p>
          <a:pPr algn="ctr"/>
          <a:r>
            <a:rPr lang="en-IN" sz="1800" b="1">
              <a:solidFill>
                <a:schemeClr val="tx1">
                  <a:lumMod val="75000"/>
                  <a:lumOff val="25000"/>
                </a:schemeClr>
              </a:solidFill>
            </a:rPr>
            <a:t>Global Sugarcane Production Dashboard</a:t>
          </a:r>
        </a:p>
      </xdr:txBody>
    </xdr:sp>
    <xdr:clientData/>
  </xdr:twoCellAnchor>
  <xdr:twoCellAnchor>
    <xdr:from>
      <xdr:col>10</xdr:col>
      <xdr:colOff>438150</xdr:colOff>
      <xdr:row>3</xdr:row>
      <xdr:rowOff>152400</xdr:rowOff>
    </xdr:from>
    <xdr:to>
      <xdr:col>15</xdr:col>
      <xdr:colOff>419099</xdr:colOff>
      <xdr:row>12</xdr:row>
      <xdr:rowOff>114301</xdr:rowOff>
    </xdr:to>
    <xdr:graphicFrame macro="">
      <xdr:nvGraphicFramePr>
        <xdr:cNvPr id="22" name="Chart 21">
          <a:extLst>
            <a:ext uri="{FF2B5EF4-FFF2-40B4-BE49-F238E27FC236}">
              <a16:creationId xmlns:a16="http://schemas.microsoft.com/office/drawing/2014/main" id="{D9A16242-B4D2-4DE3-9C19-BDC412564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247650</xdr:colOff>
      <xdr:row>13</xdr:row>
      <xdr:rowOff>38100</xdr:rowOff>
    </xdr:from>
    <xdr:to>
      <xdr:col>10</xdr:col>
      <xdr:colOff>333374</xdr:colOff>
      <xdr:row>22</xdr:row>
      <xdr:rowOff>114300</xdr:rowOff>
    </xdr:to>
    <xdr:graphicFrame macro="">
      <xdr:nvGraphicFramePr>
        <xdr:cNvPr id="24" name="Chart 23">
          <a:extLst>
            <a:ext uri="{FF2B5EF4-FFF2-40B4-BE49-F238E27FC236}">
              <a16:creationId xmlns:a16="http://schemas.microsoft.com/office/drawing/2014/main" id="{6EEB5885-F3A3-43BE-91BE-8DCF623642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428626</xdr:colOff>
      <xdr:row>13</xdr:row>
      <xdr:rowOff>28574</xdr:rowOff>
    </xdr:from>
    <xdr:to>
      <xdr:col>15</xdr:col>
      <xdr:colOff>390526</xdr:colOff>
      <xdr:row>22</xdr:row>
      <xdr:rowOff>114297</xdr:rowOff>
    </xdr:to>
    <xdr:graphicFrame macro="">
      <xdr:nvGraphicFramePr>
        <xdr:cNvPr id="37" name="Chart 36">
          <a:extLst>
            <a:ext uri="{FF2B5EF4-FFF2-40B4-BE49-F238E27FC236}">
              <a16:creationId xmlns:a16="http://schemas.microsoft.com/office/drawing/2014/main" id="{6A422E95-46D7-417C-ACF4-B1EF0C895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266700</xdr:colOff>
      <xdr:row>3</xdr:row>
      <xdr:rowOff>152398</xdr:rowOff>
    </xdr:from>
    <xdr:to>
      <xdr:col>10</xdr:col>
      <xdr:colOff>342901</xdr:colOff>
      <xdr:row>12</xdr:row>
      <xdr:rowOff>123825</xdr:rowOff>
    </xdr:to>
    <xdr:graphicFrame macro="">
      <xdr:nvGraphicFramePr>
        <xdr:cNvPr id="6" name="Chart 5">
          <a:extLst>
            <a:ext uri="{FF2B5EF4-FFF2-40B4-BE49-F238E27FC236}">
              <a16:creationId xmlns:a16="http://schemas.microsoft.com/office/drawing/2014/main" id="{A44EFFFE-D35F-461E-9301-FE15AF3BE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495301</xdr:colOff>
      <xdr:row>13</xdr:row>
      <xdr:rowOff>95250</xdr:rowOff>
    </xdr:from>
    <xdr:to>
      <xdr:col>19</xdr:col>
      <xdr:colOff>38101</xdr:colOff>
      <xdr:row>17</xdr:row>
      <xdr:rowOff>142875</xdr:rowOff>
    </xdr:to>
    <xdr:sp macro="" textlink="">
      <xdr:nvSpPr>
        <xdr:cNvPr id="4" name="Rectangle: Rounded Corners 3">
          <a:extLst>
            <a:ext uri="{FF2B5EF4-FFF2-40B4-BE49-F238E27FC236}">
              <a16:creationId xmlns:a16="http://schemas.microsoft.com/office/drawing/2014/main" id="{20777DB0-B767-BCFA-0BF8-2FC2FC27259C}"/>
            </a:ext>
          </a:extLst>
        </xdr:cNvPr>
        <xdr:cNvSpPr/>
      </xdr:nvSpPr>
      <xdr:spPr>
        <a:xfrm>
          <a:off x="9639301" y="2533650"/>
          <a:ext cx="1981200" cy="809625"/>
        </a:xfrm>
        <a:prstGeom prst="roundRect">
          <a:avLst>
            <a:gd name="adj" fmla="val 1313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514350</xdr:colOff>
      <xdr:row>3</xdr:row>
      <xdr:rowOff>152400</xdr:rowOff>
    </xdr:from>
    <xdr:to>
      <xdr:col>19</xdr:col>
      <xdr:colOff>38101</xdr:colOff>
      <xdr:row>8</xdr:row>
      <xdr:rowOff>19050</xdr:rowOff>
    </xdr:to>
    <xdr:sp macro="" textlink="">
      <xdr:nvSpPr>
        <xdr:cNvPr id="7" name="Rectangle: Rounded Corners 6">
          <a:extLst>
            <a:ext uri="{FF2B5EF4-FFF2-40B4-BE49-F238E27FC236}">
              <a16:creationId xmlns:a16="http://schemas.microsoft.com/office/drawing/2014/main" id="{06C0FF84-B444-451A-968B-29E4A76A0D05}"/>
            </a:ext>
          </a:extLst>
        </xdr:cNvPr>
        <xdr:cNvSpPr/>
      </xdr:nvSpPr>
      <xdr:spPr>
        <a:xfrm>
          <a:off x="9658350" y="723900"/>
          <a:ext cx="1962151" cy="7810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504825</xdr:colOff>
      <xdr:row>8</xdr:row>
      <xdr:rowOff>123825</xdr:rowOff>
    </xdr:from>
    <xdr:to>
      <xdr:col>19</xdr:col>
      <xdr:colOff>38098</xdr:colOff>
      <xdr:row>13</xdr:row>
      <xdr:rowOff>0</xdr:rowOff>
    </xdr:to>
    <xdr:sp macro="" textlink="">
      <xdr:nvSpPr>
        <xdr:cNvPr id="9" name="Rectangle: Rounded Corners 8">
          <a:extLst>
            <a:ext uri="{FF2B5EF4-FFF2-40B4-BE49-F238E27FC236}">
              <a16:creationId xmlns:a16="http://schemas.microsoft.com/office/drawing/2014/main" id="{C532E796-A9D9-445E-B4BA-12D322CC4B61}"/>
            </a:ext>
          </a:extLst>
        </xdr:cNvPr>
        <xdr:cNvSpPr/>
      </xdr:nvSpPr>
      <xdr:spPr>
        <a:xfrm>
          <a:off x="9648825" y="1609725"/>
          <a:ext cx="1971673" cy="828675"/>
        </a:xfrm>
        <a:prstGeom prst="roundRect">
          <a:avLst>
            <a:gd name="adj" fmla="val 1436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314325</xdr:colOff>
      <xdr:row>3</xdr:row>
      <xdr:rowOff>180975</xdr:rowOff>
    </xdr:from>
    <xdr:to>
      <xdr:col>5</xdr:col>
      <xdr:colOff>190500</xdr:colOff>
      <xdr:row>7</xdr:row>
      <xdr:rowOff>152400</xdr:rowOff>
    </xdr:to>
    <xdr:sp macro="" textlink="">
      <xdr:nvSpPr>
        <xdr:cNvPr id="11" name="Rectangle: Rounded Corners 10">
          <a:extLst>
            <a:ext uri="{FF2B5EF4-FFF2-40B4-BE49-F238E27FC236}">
              <a16:creationId xmlns:a16="http://schemas.microsoft.com/office/drawing/2014/main" id="{4D07F22C-7CFA-4549-B416-BDAC4BE92CB8}"/>
            </a:ext>
          </a:extLst>
        </xdr:cNvPr>
        <xdr:cNvSpPr/>
      </xdr:nvSpPr>
      <xdr:spPr>
        <a:xfrm>
          <a:off x="1533525" y="752475"/>
          <a:ext cx="1704975" cy="695325"/>
        </a:xfrm>
        <a:prstGeom prst="roundRect">
          <a:avLst/>
        </a:prstGeom>
        <a:noFill/>
        <a:ln w="222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solidFill>
              <a:srgbClr val="FF0000"/>
            </a:solidFill>
          </a:endParaRPr>
        </a:p>
      </xdr:txBody>
    </xdr:sp>
    <xdr:clientData/>
  </xdr:twoCellAnchor>
  <xdr:twoCellAnchor>
    <xdr:from>
      <xdr:col>0</xdr:col>
      <xdr:colOff>114300</xdr:colOff>
      <xdr:row>4</xdr:row>
      <xdr:rowOff>1</xdr:rowOff>
    </xdr:from>
    <xdr:to>
      <xdr:col>2</xdr:col>
      <xdr:colOff>238125</xdr:colOff>
      <xdr:row>14</xdr:row>
      <xdr:rowOff>171451</xdr:rowOff>
    </xdr:to>
    <xdr:sp macro="" textlink="">
      <xdr:nvSpPr>
        <xdr:cNvPr id="20" name="Rectangle: Rounded Corners 19">
          <a:extLst>
            <a:ext uri="{FF2B5EF4-FFF2-40B4-BE49-F238E27FC236}">
              <a16:creationId xmlns:a16="http://schemas.microsoft.com/office/drawing/2014/main" id="{F119A663-878D-4B4D-80B1-7A2F5821727E}"/>
            </a:ext>
          </a:extLst>
        </xdr:cNvPr>
        <xdr:cNvSpPr/>
      </xdr:nvSpPr>
      <xdr:spPr>
        <a:xfrm>
          <a:off x="114300" y="762001"/>
          <a:ext cx="1343025" cy="2038350"/>
        </a:xfrm>
        <a:prstGeom prst="roundRect">
          <a:avLst>
            <a:gd name="adj" fmla="val 405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495301</xdr:colOff>
      <xdr:row>18</xdr:row>
      <xdr:rowOff>57149</xdr:rowOff>
    </xdr:from>
    <xdr:to>
      <xdr:col>19</xdr:col>
      <xdr:colOff>28577</xdr:colOff>
      <xdr:row>22</xdr:row>
      <xdr:rowOff>114300</xdr:rowOff>
    </xdr:to>
    <xdr:sp macro="" textlink="">
      <xdr:nvSpPr>
        <xdr:cNvPr id="12" name="Rectangle: Rounded Corners 11">
          <a:extLst>
            <a:ext uri="{FF2B5EF4-FFF2-40B4-BE49-F238E27FC236}">
              <a16:creationId xmlns:a16="http://schemas.microsoft.com/office/drawing/2014/main" id="{ED7937D2-971B-4837-A2CB-A679F1256BC4}"/>
            </a:ext>
          </a:extLst>
        </xdr:cNvPr>
        <xdr:cNvSpPr/>
      </xdr:nvSpPr>
      <xdr:spPr>
        <a:xfrm>
          <a:off x="9639301" y="3448049"/>
          <a:ext cx="1971676" cy="819151"/>
        </a:xfrm>
        <a:prstGeom prst="roundRect">
          <a:avLst>
            <a:gd name="adj" fmla="val 1196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142872</xdr:colOff>
      <xdr:row>5</xdr:row>
      <xdr:rowOff>28575</xdr:rowOff>
    </xdr:from>
    <xdr:to>
      <xdr:col>2</xdr:col>
      <xdr:colOff>211122</xdr:colOff>
      <xdr:row>14</xdr:row>
      <xdr:rowOff>142874</xdr:rowOff>
    </xdr:to>
    <mc:AlternateContent xmlns:mc="http://schemas.openxmlformats.org/markup-compatibility/2006" xmlns:a14="http://schemas.microsoft.com/office/drawing/2010/main">
      <mc:Choice Requires="a14">
        <xdr:graphicFrame macro="">
          <xdr:nvGraphicFramePr>
            <xdr:cNvPr id="29" name="Continent 1">
              <a:extLst>
                <a:ext uri="{FF2B5EF4-FFF2-40B4-BE49-F238E27FC236}">
                  <a16:creationId xmlns:a16="http://schemas.microsoft.com/office/drawing/2014/main" id="{89D34411-9516-409F-9FE1-C3F6C5550CD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ontinent 1"/>
            </a:graphicData>
          </a:graphic>
        </xdr:graphicFrame>
      </mc:Choice>
      <mc:Fallback xmlns="">
        <xdr:sp macro="" textlink="">
          <xdr:nvSpPr>
            <xdr:cNvPr id="0" name=""/>
            <xdr:cNvSpPr>
              <a:spLocks noTextEdit="1"/>
            </xdr:cNvSpPr>
          </xdr:nvSpPr>
          <xdr:spPr>
            <a:xfrm>
              <a:off x="142872" y="942975"/>
              <a:ext cx="1287450" cy="1828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266700</xdr:colOff>
      <xdr:row>3</xdr:row>
      <xdr:rowOff>142876</xdr:rowOff>
    </xdr:from>
    <xdr:to>
      <xdr:col>2</xdr:col>
      <xdr:colOff>104775</xdr:colOff>
      <xdr:row>5</xdr:row>
      <xdr:rowOff>85726</xdr:rowOff>
    </xdr:to>
    <xdr:sp macro="" textlink="">
      <xdr:nvSpPr>
        <xdr:cNvPr id="21" name="TextBox 20">
          <a:extLst>
            <a:ext uri="{FF2B5EF4-FFF2-40B4-BE49-F238E27FC236}">
              <a16:creationId xmlns:a16="http://schemas.microsoft.com/office/drawing/2014/main" id="{9A8DF004-12C8-08E1-7571-2180698FCA80}"/>
            </a:ext>
          </a:extLst>
        </xdr:cNvPr>
        <xdr:cNvSpPr txBox="1"/>
      </xdr:nvSpPr>
      <xdr:spPr>
        <a:xfrm>
          <a:off x="266700" y="714376"/>
          <a:ext cx="1057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Continent</a:t>
          </a:r>
        </a:p>
      </xdr:txBody>
    </xdr:sp>
    <xdr:clientData/>
  </xdr:twoCellAnchor>
  <xdr:twoCellAnchor editAs="oneCell">
    <xdr:from>
      <xdr:col>16</xdr:col>
      <xdr:colOff>371474</xdr:colOff>
      <xdr:row>5</xdr:row>
      <xdr:rowOff>171450</xdr:rowOff>
    </xdr:from>
    <xdr:to>
      <xdr:col>18</xdr:col>
      <xdr:colOff>571500</xdr:colOff>
      <xdr:row>8</xdr:row>
      <xdr:rowOff>0</xdr:rowOff>
    </xdr:to>
    <xdr:sp macro="" textlink="Analysis!$A$28">
      <xdr:nvSpPr>
        <xdr:cNvPr id="42" name="TextBox 41">
          <a:extLst>
            <a:ext uri="{FF2B5EF4-FFF2-40B4-BE49-F238E27FC236}">
              <a16:creationId xmlns:a16="http://schemas.microsoft.com/office/drawing/2014/main" id="{26CDA8A7-87EB-8FD4-9B0A-FF90F04BB5A0}"/>
            </a:ext>
          </a:extLst>
        </xdr:cNvPr>
        <xdr:cNvSpPr txBox="1"/>
      </xdr:nvSpPr>
      <xdr:spPr>
        <a:xfrm>
          <a:off x="10125074" y="1085850"/>
          <a:ext cx="1419226"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fld id="{C58D5B0E-5475-44AD-A88A-F8CBCD4E0BD3}" type="TxLink">
            <a:rPr lang="en-US" sz="1400" b="1" i="0" u="none" strike="noStrike">
              <a:solidFill>
                <a:srgbClr val="000000"/>
              </a:solidFill>
              <a:latin typeface="Aptos Narrow"/>
            </a:rPr>
            <a:pPr/>
            <a:t> 12,30,59,739 </a:t>
          </a:fld>
          <a:endParaRPr lang="en-US" sz="1400" b="1">
            <a:solidFill>
              <a:srgbClr val="000000"/>
            </a:solidFill>
          </a:endParaRPr>
        </a:p>
      </xdr:txBody>
    </xdr:sp>
    <xdr:clientData/>
  </xdr:twoCellAnchor>
  <xdr:twoCellAnchor>
    <xdr:from>
      <xdr:col>16</xdr:col>
      <xdr:colOff>438151</xdr:colOff>
      <xdr:row>15</xdr:row>
      <xdr:rowOff>171450</xdr:rowOff>
    </xdr:from>
    <xdr:to>
      <xdr:col>18</xdr:col>
      <xdr:colOff>581025</xdr:colOff>
      <xdr:row>17</xdr:row>
      <xdr:rowOff>38100</xdr:rowOff>
    </xdr:to>
    <xdr:sp macro="" textlink="Analysis!$A$31">
      <xdr:nvSpPr>
        <xdr:cNvPr id="44" name="TextBox 43">
          <a:extLst>
            <a:ext uri="{FF2B5EF4-FFF2-40B4-BE49-F238E27FC236}">
              <a16:creationId xmlns:a16="http://schemas.microsoft.com/office/drawing/2014/main" id="{133D3EC8-950A-4501-A088-1E827616A2AF}"/>
            </a:ext>
          </a:extLst>
        </xdr:cNvPr>
        <xdr:cNvSpPr txBox="1"/>
      </xdr:nvSpPr>
      <xdr:spPr>
        <a:xfrm>
          <a:off x="10191751" y="2990850"/>
          <a:ext cx="1362074"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marL="0" indent="0"/>
          <a:fld id="{85339BBE-AC17-457E-A23C-94F79EA13F92}" type="TxLink">
            <a:rPr lang="en-US" sz="1400" b="1" i="0" u="none" strike="noStrike">
              <a:solidFill>
                <a:srgbClr val="000000"/>
              </a:solidFill>
              <a:latin typeface="Aptos Narrow"/>
              <a:ea typeface="+mn-ea"/>
              <a:cs typeface="+mn-cs"/>
            </a:rPr>
            <a:pPr marL="0" indent="0"/>
            <a:t> 16,75,215 </a:t>
          </a:fld>
          <a:endParaRPr lang="en-US" sz="1400" b="1" i="0" u="none" strike="noStrike">
            <a:solidFill>
              <a:srgbClr val="000000"/>
            </a:solidFill>
            <a:latin typeface="Aptos Narrow"/>
            <a:ea typeface="+mn-ea"/>
            <a:cs typeface="+mn-cs"/>
          </a:endParaRPr>
        </a:p>
      </xdr:txBody>
    </xdr:sp>
    <xdr:clientData/>
  </xdr:twoCellAnchor>
  <xdr:twoCellAnchor>
    <xdr:from>
      <xdr:col>16</xdr:col>
      <xdr:colOff>514351</xdr:colOff>
      <xdr:row>11</xdr:row>
      <xdr:rowOff>9525</xdr:rowOff>
    </xdr:from>
    <xdr:to>
      <xdr:col>19</xdr:col>
      <xdr:colOff>1</xdr:colOff>
      <xdr:row>12</xdr:row>
      <xdr:rowOff>133349</xdr:rowOff>
    </xdr:to>
    <xdr:sp macro="" textlink="Analysis!$A$34">
      <xdr:nvSpPr>
        <xdr:cNvPr id="45" name="TextBox 44">
          <a:extLst>
            <a:ext uri="{FF2B5EF4-FFF2-40B4-BE49-F238E27FC236}">
              <a16:creationId xmlns:a16="http://schemas.microsoft.com/office/drawing/2014/main" id="{DCBAB8D5-F861-40BC-94B8-64E7F1B0F51E}"/>
            </a:ext>
          </a:extLst>
        </xdr:cNvPr>
        <xdr:cNvSpPr txBox="1"/>
      </xdr:nvSpPr>
      <xdr:spPr>
        <a:xfrm>
          <a:off x="10267951" y="2066925"/>
          <a:ext cx="1314450"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F7757B-5DD6-4722-9A14-42D1377E82F5}" type="TxLink">
            <a:rPr lang="en-US" sz="1400" b="1" i="0" u="none" strike="noStrike">
              <a:solidFill>
                <a:srgbClr val="000000"/>
              </a:solidFill>
              <a:latin typeface="Aptos Narrow"/>
            </a:rPr>
            <a:pPr algn="ctr"/>
            <a:t> 73,459 </a:t>
          </a:fld>
          <a:endParaRPr lang="en-US" sz="1400" b="1" i="0" u="none" strike="noStrike">
            <a:solidFill>
              <a:srgbClr val="000000"/>
            </a:solidFill>
            <a:latin typeface="Aptos Narrow"/>
          </a:endParaRPr>
        </a:p>
      </xdr:txBody>
    </xdr:sp>
    <xdr:clientData/>
  </xdr:twoCellAnchor>
  <xdr:twoCellAnchor editAs="oneCell">
    <xdr:from>
      <xdr:col>17</xdr:col>
      <xdr:colOff>133349</xdr:colOff>
      <xdr:row>20</xdr:row>
      <xdr:rowOff>66676</xdr:rowOff>
    </xdr:from>
    <xdr:to>
      <xdr:col>18</xdr:col>
      <xdr:colOff>323848</xdr:colOff>
      <xdr:row>21</xdr:row>
      <xdr:rowOff>164176</xdr:rowOff>
    </xdr:to>
    <xdr:sp macro="" textlink="Analysis!A37">
      <xdr:nvSpPr>
        <xdr:cNvPr id="5" name="TextBox 4">
          <a:extLst>
            <a:ext uri="{FF2B5EF4-FFF2-40B4-BE49-F238E27FC236}">
              <a16:creationId xmlns:a16="http://schemas.microsoft.com/office/drawing/2014/main" id="{42BA4467-E53E-4065-8C3C-BFBCF46F6FE3}"/>
            </a:ext>
          </a:extLst>
        </xdr:cNvPr>
        <xdr:cNvSpPr txBox="1"/>
      </xdr:nvSpPr>
      <xdr:spPr>
        <a:xfrm>
          <a:off x="10496549" y="3838576"/>
          <a:ext cx="800099"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fld id="{6DF4AF2C-D5BF-4261-885E-177085DD8C34}" type="TxLink">
            <a:rPr lang="en-US" sz="1400" b="1" i="0" u="none" strike="noStrike">
              <a:solidFill>
                <a:srgbClr val="000000"/>
              </a:solidFill>
              <a:latin typeface="Aptos Narrow"/>
            </a:rPr>
            <a:pPr/>
            <a:t>103</a:t>
          </a:fld>
          <a:endParaRPr lang="en-IN" sz="1400" b="1">
            <a:solidFill>
              <a:srgbClr val="000000"/>
            </a:solidFill>
          </a:endParaRPr>
        </a:p>
      </xdr:txBody>
    </xdr:sp>
    <xdr:clientData/>
  </xdr:twoCellAnchor>
  <xdr:twoCellAnchor editAs="oneCell">
    <xdr:from>
      <xdr:col>2</xdr:col>
      <xdr:colOff>339159</xdr:colOff>
      <xdr:row>4</xdr:row>
      <xdr:rowOff>133350</xdr:rowOff>
    </xdr:from>
    <xdr:to>
      <xdr:col>3</xdr:col>
      <xdr:colOff>9525</xdr:colOff>
      <xdr:row>5</xdr:row>
      <xdr:rowOff>165399</xdr:rowOff>
    </xdr:to>
    <xdr:pic>
      <xdr:nvPicPr>
        <xdr:cNvPr id="8" name="Picture 7">
          <a:extLst>
            <a:ext uri="{FF2B5EF4-FFF2-40B4-BE49-F238E27FC236}">
              <a16:creationId xmlns:a16="http://schemas.microsoft.com/office/drawing/2014/main" id="{D6AC2C1F-0E1A-4292-1134-B18C72953FCB}"/>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artisticCutout/>
                  </a14:imgEffect>
                </a14:imgLayer>
              </a14:imgProps>
            </a:ext>
            <a:ext uri="{28A0092B-C50C-407E-A947-70E740481C1C}">
              <a14:useLocalDpi xmlns:a14="http://schemas.microsoft.com/office/drawing/2010/main" val="0"/>
            </a:ext>
          </a:extLst>
        </a:blip>
        <a:stretch>
          <a:fillRect/>
        </a:stretch>
      </xdr:blipFill>
      <xdr:spPr>
        <a:xfrm flipH="1">
          <a:off x="1558359" y="895350"/>
          <a:ext cx="279966" cy="184449"/>
        </a:xfrm>
        <a:prstGeom prst="rect">
          <a:avLst/>
        </a:prstGeom>
      </xdr:spPr>
    </xdr:pic>
    <xdr:clientData/>
  </xdr:twoCellAnchor>
  <xdr:twoCellAnchor editAs="oneCell">
    <xdr:from>
      <xdr:col>16</xdr:col>
      <xdr:colOff>561976</xdr:colOff>
      <xdr:row>3</xdr:row>
      <xdr:rowOff>180975</xdr:rowOff>
    </xdr:from>
    <xdr:to>
      <xdr:col>18</xdr:col>
      <xdr:colOff>552450</xdr:colOff>
      <xdr:row>6</xdr:row>
      <xdr:rowOff>47885</xdr:rowOff>
    </xdr:to>
    <xdr:sp macro="" textlink="">
      <xdr:nvSpPr>
        <xdr:cNvPr id="15" name="TextBox 14">
          <a:extLst>
            <a:ext uri="{FF2B5EF4-FFF2-40B4-BE49-F238E27FC236}">
              <a16:creationId xmlns:a16="http://schemas.microsoft.com/office/drawing/2014/main" id="{9B6029B5-8162-4321-BEC5-CF52359956A5}"/>
            </a:ext>
          </a:extLst>
        </xdr:cNvPr>
        <xdr:cNvSpPr txBox="1"/>
      </xdr:nvSpPr>
      <xdr:spPr>
        <a:xfrm>
          <a:off x="10315576" y="752475"/>
          <a:ext cx="1209674" cy="400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lang="en-US" sz="1400" b="1" i="0" u="none" strike="noStrike">
              <a:solidFill>
                <a:srgbClr val="000000"/>
              </a:solidFill>
              <a:latin typeface="Aptos Narrow"/>
            </a:rPr>
            <a:t>Total</a:t>
          </a:r>
          <a:r>
            <a:rPr lang="en-US" sz="1400" b="1" i="0" u="none" strike="noStrike" baseline="0">
              <a:solidFill>
                <a:srgbClr val="000000"/>
              </a:solidFill>
              <a:latin typeface="Aptos Narrow"/>
            </a:rPr>
            <a:t> Production </a:t>
          </a:r>
          <a:r>
            <a:rPr lang="en-US" sz="1100" b="1" i="0" u="none" strike="noStrike" baseline="0">
              <a:solidFill>
                <a:srgbClr val="000000"/>
              </a:solidFill>
              <a:latin typeface="Aptos Narrow"/>
            </a:rPr>
            <a:t>(Tons)</a:t>
          </a:r>
          <a:endParaRPr lang="en-US" sz="1100" b="1" i="0" u="none" strike="noStrike">
            <a:solidFill>
              <a:srgbClr val="000000"/>
            </a:solidFill>
            <a:latin typeface="Aptos Narrow"/>
          </a:endParaRPr>
        </a:p>
      </xdr:txBody>
    </xdr:sp>
    <xdr:clientData/>
  </xdr:twoCellAnchor>
  <xdr:twoCellAnchor editAs="oneCell">
    <xdr:from>
      <xdr:col>15</xdr:col>
      <xdr:colOff>485776</xdr:colOff>
      <xdr:row>4</xdr:row>
      <xdr:rowOff>28575</xdr:rowOff>
    </xdr:from>
    <xdr:to>
      <xdr:col>16</xdr:col>
      <xdr:colOff>561976</xdr:colOff>
      <xdr:row>6</xdr:row>
      <xdr:rowOff>24122</xdr:rowOff>
    </xdr:to>
    <xdr:pic>
      <xdr:nvPicPr>
        <xdr:cNvPr id="18" name="Picture 17">
          <a:extLst>
            <a:ext uri="{FF2B5EF4-FFF2-40B4-BE49-F238E27FC236}">
              <a16:creationId xmlns:a16="http://schemas.microsoft.com/office/drawing/2014/main" id="{53077295-43BA-44AD-EB49-75FDC07589A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629776" y="790575"/>
          <a:ext cx="685800" cy="338447"/>
        </a:xfrm>
        <a:prstGeom prst="rect">
          <a:avLst/>
        </a:prstGeom>
      </xdr:spPr>
    </xdr:pic>
    <xdr:clientData/>
  </xdr:twoCellAnchor>
  <xdr:twoCellAnchor>
    <xdr:from>
      <xdr:col>17</xdr:col>
      <xdr:colOff>9525</xdr:colOff>
      <xdr:row>13</xdr:row>
      <xdr:rowOff>133351</xdr:rowOff>
    </xdr:from>
    <xdr:to>
      <xdr:col>18</xdr:col>
      <xdr:colOff>571500</xdr:colOff>
      <xdr:row>16</xdr:row>
      <xdr:rowOff>1</xdr:rowOff>
    </xdr:to>
    <xdr:sp macro="" textlink="">
      <xdr:nvSpPr>
        <xdr:cNvPr id="19" name="TextBox 18">
          <a:extLst>
            <a:ext uri="{FF2B5EF4-FFF2-40B4-BE49-F238E27FC236}">
              <a16:creationId xmlns:a16="http://schemas.microsoft.com/office/drawing/2014/main" id="{AA405D82-951D-49C4-8E43-D81FCFA0408C}"/>
            </a:ext>
          </a:extLst>
        </xdr:cNvPr>
        <xdr:cNvSpPr txBox="1"/>
      </xdr:nvSpPr>
      <xdr:spPr>
        <a:xfrm>
          <a:off x="10372725" y="2571751"/>
          <a:ext cx="117157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marL="0" indent="0" algn="ctr"/>
          <a:r>
            <a:rPr lang="en-US" sz="1400" b="1" i="0" u="none" strike="noStrike">
              <a:solidFill>
                <a:srgbClr val="000000"/>
              </a:solidFill>
              <a:latin typeface="Aptos Narrow"/>
              <a:ea typeface="+mn-ea"/>
              <a:cs typeface="+mn-cs"/>
            </a:rPr>
            <a:t>Total</a:t>
          </a:r>
          <a:r>
            <a:rPr lang="en-US" sz="1400" b="1" i="0" u="none" strike="noStrike" baseline="0">
              <a:solidFill>
                <a:srgbClr val="000000"/>
              </a:solidFill>
              <a:latin typeface="Aptos Narrow"/>
              <a:ea typeface="+mn-ea"/>
              <a:cs typeface="+mn-cs"/>
            </a:rPr>
            <a:t> Acreage </a:t>
          </a:r>
          <a:r>
            <a:rPr lang="en-US" sz="1100" b="1" i="0" u="none" strike="noStrike" baseline="0">
              <a:solidFill>
                <a:srgbClr val="000000"/>
              </a:solidFill>
              <a:latin typeface="Aptos Narrow"/>
              <a:ea typeface="+mn-ea"/>
              <a:cs typeface="+mn-cs"/>
            </a:rPr>
            <a:t>(Hectares)</a:t>
          </a:r>
          <a:endParaRPr lang="en-US" sz="1100" b="1" i="0" u="none" strike="noStrike">
            <a:solidFill>
              <a:srgbClr val="000000"/>
            </a:solidFill>
            <a:latin typeface="Aptos Narrow"/>
            <a:ea typeface="+mn-ea"/>
            <a:cs typeface="+mn-cs"/>
          </a:endParaRPr>
        </a:p>
      </xdr:txBody>
    </xdr:sp>
    <xdr:clientData/>
  </xdr:twoCellAnchor>
  <xdr:twoCellAnchor editAs="oneCell">
    <xdr:from>
      <xdr:col>15</xdr:col>
      <xdr:colOff>533401</xdr:colOff>
      <xdr:row>13</xdr:row>
      <xdr:rowOff>104776</xdr:rowOff>
    </xdr:from>
    <xdr:to>
      <xdr:col>16</xdr:col>
      <xdr:colOff>562452</xdr:colOff>
      <xdr:row>15</xdr:row>
      <xdr:rowOff>142876</xdr:rowOff>
    </xdr:to>
    <xdr:pic>
      <xdr:nvPicPr>
        <xdr:cNvPr id="25" name="Picture 24">
          <a:extLst>
            <a:ext uri="{FF2B5EF4-FFF2-40B4-BE49-F238E27FC236}">
              <a16:creationId xmlns:a16="http://schemas.microsoft.com/office/drawing/2014/main" id="{B589E6A6-64E6-7856-F2C1-89BBE0E6896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677401" y="2543176"/>
          <a:ext cx="638651" cy="419100"/>
        </a:xfrm>
        <a:prstGeom prst="rect">
          <a:avLst/>
        </a:prstGeom>
      </xdr:spPr>
    </xdr:pic>
    <xdr:clientData/>
  </xdr:twoCellAnchor>
  <xdr:twoCellAnchor>
    <xdr:from>
      <xdr:col>16</xdr:col>
      <xdr:colOff>609598</xdr:colOff>
      <xdr:row>8</xdr:row>
      <xdr:rowOff>123825</xdr:rowOff>
    </xdr:from>
    <xdr:to>
      <xdr:col>18</xdr:col>
      <xdr:colOff>600075</xdr:colOff>
      <xdr:row>11</xdr:row>
      <xdr:rowOff>38100</xdr:rowOff>
    </xdr:to>
    <xdr:sp macro="" textlink="">
      <xdr:nvSpPr>
        <xdr:cNvPr id="26" name="TextBox 25">
          <a:extLst>
            <a:ext uri="{FF2B5EF4-FFF2-40B4-BE49-F238E27FC236}">
              <a16:creationId xmlns:a16="http://schemas.microsoft.com/office/drawing/2014/main" id="{485A893F-3382-4630-86F0-958C1D30A727}"/>
            </a:ext>
          </a:extLst>
        </xdr:cNvPr>
        <xdr:cNvSpPr txBox="1"/>
      </xdr:nvSpPr>
      <xdr:spPr>
        <a:xfrm>
          <a:off x="10363198" y="1609725"/>
          <a:ext cx="1209677"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rgbClr val="000000"/>
              </a:solidFill>
              <a:latin typeface="Aptos Narrow"/>
            </a:rPr>
            <a:t>Average</a:t>
          </a:r>
          <a:r>
            <a:rPr lang="en-US" sz="1400" b="1" i="0" u="none" strike="noStrike" baseline="0">
              <a:solidFill>
                <a:srgbClr val="000000"/>
              </a:solidFill>
              <a:latin typeface="Aptos Narrow"/>
            </a:rPr>
            <a:t> Yield </a:t>
          </a:r>
          <a:r>
            <a:rPr lang="en-US" sz="1100" b="1" i="0" u="none" strike="noStrike" baseline="0">
              <a:solidFill>
                <a:srgbClr val="000000"/>
              </a:solidFill>
              <a:latin typeface="Aptos Narrow"/>
            </a:rPr>
            <a:t>(Kg/hectare)</a:t>
          </a:r>
          <a:endParaRPr lang="en-US" sz="1100" b="1" i="0" u="none" strike="noStrike">
            <a:solidFill>
              <a:srgbClr val="000000"/>
            </a:solidFill>
            <a:latin typeface="Aptos Narrow"/>
          </a:endParaRPr>
        </a:p>
      </xdr:txBody>
    </xdr:sp>
    <xdr:clientData/>
  </xdr:twoCellAnchor>
  <xdr:twoCellAnchor editAs="oneCell">
    <xdr:from>
      <xdr:col>15</xdr:col>
      <xdr:colOff>542925</xdr:colOff>
      <xdr:row>8</xdr:row>
      <xdr:rowOff>180976</xdr:rowOff>
    </xdr:from>
    <xdr:to>
      <xdr:col>17</xdr:col>
      <xdr:colOff>0</xdr:colOff>
      <xdr:row>10</xdr:row>
      <xdr:rowOff>107374</xdr:rowOff>
    </xdr:to>
    <xdr:pic>
      <xdr:nvPicPr>
        <xdr:cNvPr id="28" name="Picture 27">
          <a:extLst>
            <a:ext uri="{FF2B5EF4-FFF2-40B4-BE49-F238E27FC236}">
              <a16:creationId xmlns:a16="http://schemas.microsoft.com/office/drawing/2014/main" id="{7A509D49-5674-D596-4E22-D6E90F10619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686925" y="1666876"/>
          <a:ext cx="676275" cy="307398"/>
        </a:xfrm>
        <a:prstGeom prst="rect">
          <a:avLst/>
        </a:prstGeom>
      </xdr:spPr>
    </xdr:pic>
    <xdr:clientData/>
  </xdr:twoCellAnchor>
  <xdr:twoCellAnchor editAs="oneCell">
    <xdr:from>
      <xdr:col>16</xdr:col>
      <xdr:colOff>542925</xdr:colOff>
      <xdr:row>18</xdr:row>
      <xdr:rowOff>114300</xdr:rowOff>
    </xdr:from>
    <xdr:to>
      <xdr:col>18</xdr:col>
      <xdr:colOff>533400</xdr:colOff>
      <xdr:row>20</xdr:row>
      <xdr:rowOff>21300</xdr:rowOff>
    </xdr:to>
    <xdr:sp macro="" textlink="">
      <xdr:nvSpPr>
        <xdr:cNvPr id="31" name="TextBox 30">
          <a:extLst>
            <a:ext uri="{FF2B5EF4-FFF2-40B4-BE49-F238E27FC236}">
              <a16:creationId xmlns:a16="http://schemas.microsoft.com/office/drawing/2014/main" id="{1FAB1905-6293-4C1B-A3D6-4159739B40DE}"/>
            </a:ext>
          </a:extLst>
        </xdr:cNvPr>
        <xdr:cNvSpPr txBox="1"/>
      </xdr:nvSpPr>
      <xdr:spPr>
        <a:xfrm>
          <a:off x="10296525" y="3505200"/>
          <a:ext cx="1209675"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r>
            <a:rPr lang="en-US" sz="1400" b="1" i="0" u="none" strike="noStrike">
              <a:solidFill>
                <a:srgbClr val="000000"/>
              </a:solidFill>
              <a:latin typeface="Aptos Narrow"/>
            </a:rPr>
            <a:t>Total</a:t>
          </a:r>
          <a:r>
            <a:rPr lang="en-US" sz="1400" b="1" i="0" u="none" strike="noStrike" baseline="0">
              <a:solidFill>
                <a:srgbClr val="000000"/>
              </a:solidFill>
              <a:latin typeface="Aptos Narrow"/>
            </a:rPr>
            <a:t> Countries</a:t>
          </a:r>
          <a:endParaRPr lang="en-US" sz="1400" b="1" i="0" u="none" strike="noStrike">
            <a:solidFill>
              <a:srgbClr val="000000"/>
            </a:solidFill>
            <a:latin typeface="Aptos Narrow"/>
          </a:endParaRPr>
        </a:p>
      </xdr:txBody>
    </xdr:sp>
    <xdr:clientData/>
  </xdr:twoCellAnchor>
  <xdr:twoCellAnchor editAs="oneCell">
    <xdr:from>
      <xdr:col>15</xdr:col>
      <xdr:colOff>600076</xdr:colOff>
      <xdr:row>18</xdr:row>
      <xdr:rowOff>85725</xdr:rowOff>
    </xdr:from>
    <xdr:to>
      <xdr:col>16</xdr:col>
      <xdr:colOff>428626</xdr:colOff>
      <xdr:row>20</xdr:row>
      <xdr:rowOff>114301</xdr:rowOff>
    </xdr:to>
    <xdr:pic>
      <xdr:nvPicPr>
        <xdr:cNvPr id="33" name="Picture 32">
          <a:extLst>
            <a:ext uri="{FF2B5EF4-FFF2-40B4-BE49-F238E27FC236}">
              <a16:creationId xmlns:a16="http://schemas.microsoft.com/office/drawing/2014/main" id="{43374474-2992-EB78-B955-CF9C76AD73D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744076" y="3476625"/>
          <a:ext cx="438150" cy="409576"/>
        </a:xfrm>
        <a:prstGeom prst="rect">
          <a:avLst/>
        </a:prstGeom>
      </xdr:spPr>
    </xdr:pic>
    <xdr:clientData/>
  </xdr:twoCellAnchor>
  <xdr:twoCellAnchor>
    <xdr:from>
      <xdr:col>0</xdr:col>
      <xdr:colOff>104775</xdr:colOff>
      <xdr:row>15</xdr:row>
      <xdr:rowOff>85726</xdr:rowOff>
    </xdr:from>
    <xdr:to>
      <xdr:col>5</xdr:col>
      <xdr:colOff>142875</xdr:colOff>
      <xdr:row>22</xdr:row>
      <xdr:rowOff>114300</xdr:rowOff>
    </xdr:to>
    <xdr:sp macro="" textlink="">
      <xdr:nvSpPr>
        <xdr:cNvPr id="10" name="Rectangle: Rounded Corners 9">
          <a:extLst>
            <a:ext uri="{FF2B5EF4-FFF2-40B4-BE49-F238E27FC236}">
              <a16:creationId xmlns:a16="http://schemas.microsoft.com/office/drawing/2014/main" id="{6FE3FCFA-861F-5F1C-6B32-8817927BD3C3}"/>
            </a:ext>
          </a:extLst>
        </xdr:cNvPr>
        <xdr:cNvSpPr/>
      </xdr:nvSpPr>
      <xdr:spPr>
        <a:xfrm>
          <a:off x="104775" y="2905126"/>
          <a:ext cx="3086100" cy="1362074"/>
        </a:xfrm>
        <a:prstGeom prst="roundRect">
          <a:avLst>
            <a:gd name="adj" fmla="val 3900"/>
          </a:avLst>
        </a:prstGeom>
        <a:solidFill>
          <a:schemeClr val="bg1"/>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133350</xdr:colOff>
      <xdr:row>15</xdr:row>
      <xdr:rowOff>123825</xdr:rowOff>
    </xdr:from>
    <xdr:to>
      <xdr:col>0</xdr:col>
      <xdr:colOff>600075</xdr:colOff>
      <xdr:row>17</xdr:row>
      <xdr:rowOff>114300</xdr:rowOff>
    </xdr:to>
    <xdr:pic>
      <xdr:nvPicPr>
        <xdr:cNvPr id="35" name="Picture 34">
          <a:extLst>
            <a:ext uri="{FF2B5EF4-FFF2-40B4-BE49-F238E27FC236}">
              <a16:creationId xmlns:a16="http://schemas.microsoft.com/office/drawing/2014/main" id="{1B92269A-0F1F-7481-1A7A-BA0931FBF18F}"/>
            </a:ext>
          </a:extLst>
        </xdr:cNvPr>
        <xdr:cNvPicPr>
          <a:picLocks noChangeAspect="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sharpenSoften amount="-50000"/>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133350" y="2943225"/>
          <a:ext cx="466725" cy="371475"/>
        </a:xfrm>
        <a:prstGeom prst="rect">
          <a:avLst/>
        </a:prstGeom>
      </xdr:spPr>
    </xdr:pic>
    <xdr:clientData/>
  </xdr:twoCellAnchor>
  <xdr:twoCellAnchor>
    <xdr:from>
      <xdr:col>0</xdr:col>
      <xdr:colOff>581025</xdr:colOff>
      <xdr:row>15</xdr:row>
      <xdr:rowOff>104775</xdr:rowOff>
    </xdr:from>
    <xdr:to>
      <xdr:col>3</xdr:col>
      <xdr:colOff>57150</xdr:colOff>
      <xdr:row>17</xdr:row>
      <xdr:rowOff>47626</xdr:rowOff>
    </xdr:to>
    <xdr:sp macro="" textlink="">
      <xdr:nvSpPr>
        <xdr:cNvPr id="36" name="TextBox 35">
          <a:extLst>
            <a:ext uri="{FF2B5EF4-FFF2-40B4-BE49-F238E27FC236}">
              <a16:creationId xmlns:a16="http://schemas.microsoft.com/office/drawing/2014/main" id="{6A06C10C-4B3A-BA85-E99C-22B5B0E749B1}"/>
            </a:ext>
          </a:extLst>
        </xdr:cNvPr>
        <xdr:cNvSpPr txBox="1"/>
      </xdr:nvSpPr>
      <xdr:spPr>
        <a:xfrm>
          <a:off x="581025" y="2924175"/>
          <a:ext cx="1304925"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1" u="sng"/>
            <a:t>Key Insights</a:t>
          </a:r>
        </a:p>
      </xdr:txBody>
    </xdr:sp>
    <xdr:clientData/>
  </xdr:twoCellAnchor>
  <xdr:oneCellAnchor>
    <xdr:from>
      <xdr:col>1</xdr:col>
      <xdr:colOff>342900</xdr:colOff>
      <xdr:row>16</xdr:row>
      <xdr:rowOff>161925</xdr:rowOff>
    </xdr:from>
    <xdr:ext cx="184731" cy="264560"/>
    <xdr:sp macro="" textlink="">
      <xdr:nvSpPr>
        <xdr:cNvPr id="38" name="TextBox 37">
          <a:extLst>
            <a:ext uri="{FF2B5EF4-FFF2-40B4-BE49-F238E27FC236}">
              <a16:creationId xmlns:a16="http://schemas.microsoft.com/office/drawing/2014/main" id="{BCB493F3-6451-5439-49F7-5B3E29A3C037}"/>
            </a:ext>
          </a:extLst>
        </xdr:cNvPr>
        <xdr:cNvSpPr txBox="1"/>
      </xdr:nvSpPr>
      <xdr:spPr>
        <a:xfrm>
          <a:off x="952500" y="3171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142876</xdr:colOff>
      <xdr:row>17</xdr:row>
      <xdr:rowOff>123825</xdr:rowOff>
    </xdr:from>
    <xdr:to>
      <xdr:col>5</xdr:col>
      <xdr:colOff>114300</xdr:colOff>
      <xdr:row>22</xdr:row>
      <xdr:rowOff>171450</xdr:rowOff>
    </xdr:to>
    <xdr:sp macro="" textlink="">
      <xdr:nvSpPr>
        <xdr:cNvPr id="39" name="TextBox 38">
          <a:extLst>
            <a:ext uri="{FF2B5EF4-FFF2-40B4-BE49-F238E27FC236}">
              <a16:creationId xmlns:a16="http://schemas.microsoft.com/office/drawing/2014/main" id="{610A4BBC-1B7A-5573-F2D8-D235BD90C331}"/>
            </a:ext>
          </a:extLst>
        </xdr:cNvPr>
        <xdr:cNvSpPr txBox="1"/>
      </xdr:nvSpPr>
      <xdr:spPr>
        <a:xfrm>
          <a:off x="142876" y="3324225"/>
          <a:ext cx="3019424" cy="1000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t>    </a:t>
          </a:r>
          <a:r>
            <a:rPr lang="en-IN" sz="1100" b="0" i="0" baseline="0">
              <a:solidFill>
                <a:schemeClr val="dk1"/>
              </a:solidFill>
              <a:effectLst/>
              <a:latin typeface="+mn-lt"/>
              <a:ea typeface="+mn-ea"/>
              <a:cs typeface="+mn-cs"/>
            </a:rPr>
            <a:t> </a:t>
          </a:r>
          <a:r>
            <a:rPr lang="en-IN" sz="1100" b="0" i="0">
              <a:solidFill>
                <a:schemeClr val="dk1"/>
              </a:solidFill>
              <a:effectLst/>
              <a:latin typeface="+mn-lt"/>
              <a:ea typeface="+mn-ea"/>
              <a:cs typeface="+mn-cs"/>
            </a:rPr>
            <a:t>Brazil, India, and China are the leading producers in terms of total output.</a:t>
          </a:r>
        </a:p>
        <a:p>
          <a:pPr marL="0" marR="0" lvl="0" indent="0" defTabSz="914400" eaLnBrk="1" fontAlgn="auto" latinLnBrk="0" hangingPunct="1">
            <a:lnSpc>
              <a:spcPct val="100000"/>
            </a:lnSpc>
            <a:spcBef>
              <a:spcPts val="0"/>
            </a:spcBef>
            <a:spcAft>
              <a:spcPts val="0"/>
            </a:spcAft>
            <a:buClrTx/>
            <a:buSzTx/>
            <a:buFontTx/>
            <a:buNone/>
            <a:tabLst/>
            <a:defRPr/>
          </a:pPr>
          <a:r>
            <a:rPr lang="en-IN" sz="1100"/>
            <a:t>     Asia</a:t>
          </a:r>
          <a:r>
            <a:rPr lang="en-IN" sz="1100" baseline="0"/>
            <a:t> dominates overall production due to large            cultivated area across multiple countries.</a:t>
          </a:r>
          <a:endParaRPr lang="en-IN" sz="1100"/>
        </a:p>
      </xdr:txBody>
    </xdr:sp>
    <xdr:clientData/>
  </xdr:twoCellAnchor>
  <xdr:twoCellAnchor editAs="oneCell">
    <xdr:from>
      <xdr:col>0</xdr:col>
      <xdr:colOff>190501</xdr:colOff>
      <xdr:row>19</xdr:row>
      <xdr:rowOff>133352</xdr:rowOff>
    </xdr:from>
    <xdr:to>
      <xdr:col>0</xdr:col>
      <xdr:colOff>323850</xdr:colOff>
      <xdr:row>20</xdr:row>
      <xdr:rowOff>139367</xdr:rowOff>
    </xdr:to>
    <xdr:pic>
      <xdr:nvPicPr>
        <xdr:cNvPr id="41" name="Graphic 40" descr="Checkmark with solid fill">
          <a:extLst>
            <a:ext uri="{FF2B5EF4-FFF2-40B4-BE49-F238E27FC236}">
              <a16:creationId xmlns:a16="http://schemas.microsoft.com/office/drawing/2014/main" id="{E99CCAD2-71BF-BA9C-3D87-325F3A7924C2}"/>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90501" y="3714752"/>
          <a:ext cx="133349" cy="196515"/>
        </a:xfrm>
        <a:prstGeom prst="rect">
          <a:avLst/>
        </a:prstGeom>
      </xdr:spPr>
    </xdr:pic>
    <xdr:clientData/>
  </xdr:twoCellAnchor>
  <xdr:twoCellAnchor editAs="oneCell">
    <xdr:from>
      <xdr:col>0</xdr:col>
      <xdr:colOff>180977</xdr:colOff>
      <xdr:row>17</xdr:row>
      <xdr:rowOff>161925</xdr:rowOff>
    </xdr:from>
    <xdr:to>
      <xdr:col>0</xdr:col>
      <xdr:colOff>310244</xdr:colOff>
      <xdr:row>18</xdr:row>
      <xdr:rowOff>161924</xdr:rowOff>
    </xdr:to>
    <xdr:pic>
      <xdr:nvPicPr>
        <xdr:cNvPr id="46" name="Graphic 45" descr="Checkmark with solid fill">
          <a:extLst>
            <a:ext uri="{FF2B5EF4-FFF2-40B4-BE49-F238E27FC236}">
              <a16:creationId xmlns:a16="http://schemas.microsoft.com/office/drawing/2014/main" id="{E9EE5C0C-1F89-4905-B64C-BCC245097D8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7"/>
            </a:ext>
          </a:extLst>
        </a:blip>
        <a:stretch>
          <a:fillRect/>
        </a:stretch>
      </xdr:blipFill>
      <xdr:spPr>
        <a:xfrm>
          <a:off x="180977" y="3362325"/>
          <a:ext cx="129267" cy="190499"/>
        </a:xfrm>
        <a:prstGeom prst="rect">
          <a:avLst/>
        </a:prstGeom>
      </xdr:spPr>
    </xdr:pic>
    <xdr:clientData/>
  </xdr:twoCellAnchor>
  <xdr:twoCellAnchor editAs="oneCell">
    <xdr:from>
      <xdr:col>0</xdr:col>
      <xdr:colOff>190502</xdr:colOff>
      <xdr:row>21</xdr:row>
      <xdr:rowOff>85725</xdr:rowOff>
    </xdr:from>
    <xdr:to>
      <xdr:col>0</xdr:col>
      <xdr:colOff>326234</xdr:colOff>
      <xdr:row>22</xdr:row>
      <xdr:rowOff>95251</xdr:rowOff>
    </xdr:to>
    <xdr:pic>
      <xdr:nvPicPr>
        <xdr:cNvPr id="47" name="Graphic 46" descr="Checkmark with solid fill">
          <a:extLst>
            <a:ext uri="{FF2B5EF4-FFF2-40B4-BE49-F238E27FC236}">
              <a16:creationId xmlns:a16="http://schemas.microsoft.com/office/drawing/2014/main" id="{E5247EAE-A416-41FC-8972-6224F2AC5E0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7"/>
            </a:ext>
          </a:extLst>
        </a:blip>
        <a:stretch>
          <a:fillRect/>
        </a:stretch>
      </xdr:blipFill>
      <xdr:spPr>
        <a:xfrm>
          <a:off x="190502" y="4048125"/>
          <a:ext cx="135732" cy="200026"/>
        </a:xfrm>
        <a:prstGeom prst="rect">
          <a:avLst/>
        </a:prstGeom>
      </xdr:spPr>
    </xdr:pic>
    <xdr:clientData/>
  </xdr:twoCellAnchor>
  <xdr:twoCellAnchor>
    <xdr:from>
      <xdr:col>0</xdr:col>
      <xdr:colOff>276224</xdr:colOff>
      <xdr:row>21</xdr:row>
      <xdr:rowOff>38101</xdr:rowOff>
    </xdr:from>
    <xdr:to>
      <xdr:col>4</xdr:col>
      <xdr:colOff>514349</xdr:colOff>
      <xdr:row>22</xdr:row>
      <xdr:rowOff>76201</xdr:rowOff>
    </xdr:to>
    <xdr:sp macro="" textlink="">
      <xdr:nvSpPr>
        <xdr:cNvPr id="48" name="TextBox 47">
          <a:extLst>
            <a:ext uri="{FF2B5EF4-FFF2-40B4-BE49-F238E27FC236}">
              <a16:creationId xmlns:a16="http://schemas.microsoft.com/office/drawing/2014/main" id="{5E91C273-36DC-FF84-9E92-3DED871D0D54}"/>
            </a:ext>
          </a:extLst>
        </xdr:cNvPr>
        <xdr:cNvSpPr txBox="1"/>
      </xdr:nvSpPr>
      <xdr:spPr>
        <a:xfrm>
          <a:off x="276224" y="4000501"/>
          <a:ext cx="26765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0" i="0">
              <a:solidFill>
                <a:schemeClr val="dk1"/>
              </a:solidFill>
              <a:effectLst/>
              <a:latin typeface="+mn-lt"/>
              <a:ea typeface="+mn-ea"/>
              <a:cs typeface="+mn-cs"/>
            </a:rPr>
            <a:t>South</a:t>
          </a:r>
          <a:r>
            <a:rPr lang="en-IN" sz="1100" b="0" i="0" baseline="0">
              <a:solidFill>
                <a:schemeClr val="dk1"/>
              </a:solidFill>
              <a:effectLst/>
              <a:latin typeface="+mn-lt"/>
              <a:ea typeface="+mn-ea"/>
              <a:cs typeface="+mn-cs"/>
            </a:rPr>
            <a:t> America dominates global production.</a:t>
          </a:r>
          <a:endParaRPr lang="en-IN" sz="1100"/>
        </a:p>
      </xdr:txBody>
    </xdr:sp>
    <xdr:clientData/>
  </xdr:twoCellAnchor>
  <xdr:twoCellAnchor>
    <xdr:from>
      <xdr:col>2</xdr:col>
      <xdr:colOff>333375</xdr:colOff>
      <xdr:row>8</xdr:row>
      <xdr:rowOff>66675</xdr:rowOff>
    </xdr:from>
    <xdr:to>
      <xdr:col>5</xdr:col>
      <xdr:colOff>171450</xdr:colOff>
      <xdr:row>14</xdr:row>
      <xdr:rowOff>180975</xdr:rowOff>
    </xdr:to>
    <xdr:sp macro="" textlink="">
      <xdr:nvSpPr>
        <xdr:cNvPr id="49" name="Rectangle: Rounded Corners 48">
          <a:extLst>
            <a:ext uri="{FF2B5EF4-FFF2-40B4-BE49-F238E27FC236}">
              <a16:creationId xmlns:a16="http://schemas.microsoft.com/office/drawing/2014/main" id="{4FD76E94-21B9-4493-847A-713CD39BEFF9}"/>
            </a:ext>
          </a:extLst>
        </xdr:cNvPr>
        <xdr:cNvSpPr/>
      </xdr:nvSpPr>
      <xdr:spPr>
        <a:xfrm>
          <a:off x="1552575" y="1552575"/>
          <a:ext cx="1666875" cy="1257300"/>
        </a:xfrm>
        <a:prstGeom prst="roundRect">
          <a:avLst>
            <a:gd name="adj" fmla="val 4545"/>
          </a:avLst>
        </a:prstGeom>
        <a:solidFill>
          <a:schemeClr val="bg1"/>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2</xdr:col>
      <xdr:colOff>381001</xdr:colOff>
      <xdr:row>8</xdr:row>
      <xdr:rowOff>85724</xdr:rowOff>
    </xdr:from>
    <xdr:to>
      <xdr:col>3</xdr:col>
      <xdr:colOff>228600</xdr:colOff>
      <xdr:row>10</xdr:row>
      <xdr:rowOff>28575</xdr:rowOff>
    </xdr:to>
    <xdr:pic>
      <xdr:nvPicPr>
        <xdr:cNvPr id="52" name="Picture 51">
          <a:extLst>
            <a:ext uri="{FF2B5EF4-FFF2-40B4-BE49-F238E27FC236}">
              <a16:creationId xmlns:a16="http://schemas.microsoft.com/office/drawing/2014/main" id="{65C8D2C2-C157-59BD-BCA6-D265820275E5}"/>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600201" y="1571624"/>
          <a:ext cx="457199" cy="323851"/>
        </a:xfrm>
        <a:prstGeom prst="rect">
          <a:avLst/>
        </a:prstGeom>
      </xdr:spPr>
    </xdr:pic>
    <xdr:clientData/>
  </xdr:twoCellAnchor>
  <xdr:twoCellAnchor>
    <xdr:from>
      <xdr:col>3</xdr:col>
      <xdr:colOff>257175</xdr:colOff>
      <xdr:row>8</xdr:row>
      <xdr:rowOff>0</xdr:rowOff>
    </xdr:from>
    <xdr:to>
      <xdr:col>5</xdr:col>
      <xdr:colOff>123825</xdr:colOff>
      <xdr:row>10</xdr:row>
      <xdr:rowOff>190499</xdr:rowOff>
    </xdr:to>
    <xdr:sp macro="" textlink="">
      <xdr:nvSpPr>
        <xdr:cNvPr id="53" name="TextBox 52">
          <a:extLst>
            <a:ext uri="{FF2B5EF4-FFF2-40B4-BE49-F238E27FC236}">
              <a16:creationId xmlns:a16="http://schemas.microsoft.com/office/drawing/2014/main" id="{EEFD6A1C-F81D-10A9-1A72-683D0C43E5C3}"/>
            </a:ext>
          </a:extLst>
        </xdr:cNvPr>
        <xdr:cNvSpPr txBox="1"/>
      </xdr:nvSpPr>
      <xdr:spPr>
        <a:xfrm>
          <a:off x="2085975" y="1485900"/>
          <a:ext cx="1085850"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i="0" u="sng">
              <a:solidFill>
                <a:schemeClr val="dk1"/>
              </a:solidFill>
              <a:effectLst/>
              <a:latin typeface="+mn-lt"/>
              <a:ea typeface="+mn-ea"/>
              <a:cs typeface="+mn-cs"/>
            </a:rPr>
            <a:t>Business Relevance</a:t>
          </a:r>
        </a:p>
        <a:p>
          <a:endParaRPr lang="en-IN" sz="1100"/>
        </a:p>
      </xdr:txBody>
    </xdr:sp>
    <xdr:clientData/>
  </xdr:twoCellAnchor>
  <xdr:twoCellAnchor>
    <xdr:from>
      <xdr:col>2</xdr:col>
      <xdr:colOff>361949</xdr:colOff>
      <xdr:row>10</xdr:row>
      <xdr:rowOff>95250</xdr:rowOff>
    </xdr:from>
    <xdr:to>
      <xdr:col>5</xdr:col>
      <xdr:colOff>152400</xdr:colOff>
      <xdr:row>14</xdr:row>
      <xdr:rowOff>133350</xdr:rowOff>
    </xdr:to>
    <xdr:sp macro="" textlink="">
      <xdr:nvSpPr>
        <xdr:cNvPr id="54" name="TextBox 53">
          <a:extLst>
            <a:ext uri="{FF2B5EF4-FFF2-40B4-BE49-F238E27FC236}">
              <a16:creationId xmlns:a16="http://schemas.microsoft.com/office/drawing/2014/main" id="{ECFCA92B-B71E-7552-16CC-3AAB363FB169}"/>
            </a:ext>
          </a:extLst>
        </xdr:cNvPr>
        <xdr:cNvSpPr txBox="1"/>
      </xdr:nvSpPr>
      <xdr:spPr>
        <a:xfrm>
          <a:off x="1581149" y="1962150"/>
          <a:ext cx="1619251"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72000" rIns="0" bIns="3600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t>  </a:t>
          </a:r>
          <a:r>
            <a:rPr lang="en-IN" sz="1100" b="0" i="0">
              <a:solidFill>
                <a:schemeClr val="dk1"/>
              </a:solidFill>
              <a:effectLst/>
              <a:latin typeface="+mn-lt"/>
              <a:ea typeface="+mn-ea"/>
              <a:cs typeface="+mn-cs"/>
            </a:rPr>
            <a:t>This dashboard helps analyze production, productivity, and efficiency for better decision‑making.</a:t>
          </a:r>
        </a:p>
        <a:p>
          <a:endParaRPr lang="en-IN" sz="1100"/>
        </a:p>
      </xdr:txBody>
    </xdr:sp>
    <xdr:clientData/>
  </xdr:twoCellAnchor>
  <xdr:twoCellAnchor editAs="oneCell">
    <xdr:from>
      <xdr:col>2</xdr:col>
      <xdr:colOff>371475</xdr:colOff>
      <xdr:row>10</xdr:row>
      <xdr:rowOff>152400</xdr:rowOff>
    </xdr:from>
    <xdr:to>
      <xdr:col>2</xdr:col>
      <xdr:colOff>485775</xdr:colOff>
      <xdr:row>11</xdr:row>
      <xdr:rowOff>76200</xdr:rowOff>
    </xdr:to>
    <xdr:pic>
      <xdr:nvPicPr>
        <xdr:cNvPr id="56" name="Graphic 55" descr="Optical disc with solid fill">
          <a:extLst>
            <a:ext uri="{FF2B5EF4-FFF2-40B4-BE49-F238E27FC236}">
              <a16:creationId xmlns:a16="http://schemas.microsoft.com/office/drawing/2014/main" id="{D9CB75C4-FAA2-EC40-BC67-2631DEFB4C79}"/>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590675" y="2019300"/>
          <a:ext cx="114300" cy="11430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0.32087</cdr:x>
      <cdr:y>0.06977</cdr:y>
    </cdr:from>
    <cdr:to>
      <cdr:x>0.88785</cdr:x>
      <cdr:y>0.25581</cdr:y>
    </cdr:to>
    <cdr:sp macro="" textlink="">
      <cdr:nvSpPr>
        <cdr:cNvPr id="3" name="TextBox 2">
          <a:extLst xmlns:a="http://schemas.openxmlformats.org/drawingml/2006/main">
            <a:ext uri="{FF2B5EF4-FFF2-40B4-BE49-F238E27FC236}">
              <a16:creationId xmlns:a16="http://schemas.microsoft.com/office/drawing/2014/main" id="{AD715B11-07FA-D716-03FF-9A7E533D5A95}"/>
            </a:ext>
          </a:extLst>
        </cdr:cNvPr>
        <cdr:cNvSpPr txBox="1"/>
      </cdr:nvSpPr>
      <cdr:spPr>
        <a:xfrm xmlns:a="http://schemas.openxmlformats.org/drawingml/2006/main">
          <a:off x="981076" y="114300"/>
          <a:ext cx="173355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0.13208</cdr:x>
      <cdr:y>0</cdr:y>
    </cdr:from>
    <cdr:to>
      <cdr:x>0.9717</cdr:x>
      <cdr:y>0.21512</cdr:y>
    </cdr:to>
    <cdr:sp macro="" textlink="">
      <cdr:nvSpPr>
        <cdr:cNvPr id="4" name="TextBox 3">
          <a:extLst xmlns:a="http://schemas.openxmlformats.org/drawingml/2006/main">
            <a:ext uri="{FF2B5EF4-FFF2-40B4-BE49-F238E27FC236}">
              <a16:creationId xmlns:a16="http://schemas.microsoft.com/office/drawing/2014/main" id="{8278644A-C17F-313E-2C02-1CFE150E9A37}"/>
            </a:ext>
          </a:extLst>
        </cdr:cNvPr>
        <cdr:cNvSpPr txBox="1"/>
      </cdr:nvSpPr>
      <cdr:spPr>
        <a:xfrm xmlns:a="http://schemas.openxmlformats.org/drawingml/2006/main">
          <a:off x="400049" y="0"/>
          <a:ext cx="2543176" cy="3524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1200" b="1" kern="1200">
              <a:solidFill>
                <a:schemeClr val="tx1">
                  <a:lumMod val="75000"/>
                  <a:lumOff val="25000"/>
                </a:schemeClr>
              </a:solidFill>
            </a:rPr>
            <a:t>Top</a:t>
          </a:r>
          <a:r>
            <a:rPr lang="en-IN" sz="1200" b="1" kern="1200" baseline="0">
              <a:solidFill>
                <a:schemeClr val="tx1">
                  <a:lumMod val="75000"/>
                  <a:lumOff val="25000"/>
                </a:schemeClr>
              </a:solidFill>
            </a:rPr>
            <a:t> 5 Countries by Acreage (Hectare)</a:t>
          </a:r>
          <a:endParaRPr lang="en-IN" sz="1200" b="1" kern="1200">
            <a:solidFill>
              <a:schemeClr val="tx1">
                <a:lumMod val="75000"/>
                <a:lumOff val="25000"/>
              </a:schemeClr>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0.06893</cdr:x>
      <cdr:y>0.00694</cdr:y>
    </cdr:from>
    <cdr:to>
      <cdr:x>0.95751</cdr:x>
      <cdr:y>0.19965</cdr:y>
    </cdr:to>
    <cdr:sp macro="" textlink="">
      <cdr:nvSpPr>
        <cdr:cNvPr id="5" name="TextBox 1">
          <a:extLst xmlns:a="http://schemas.openxmlformats.org/drawingml/2006/main">
            <a:ext uri="{FF2B5EF4-FFF2-40B4-BE49-F238E27FC236}">
              <a16:creationId xmlns:a16="http://schemas.microsoft.com/office/drawing/2014/main" id="{8C81B7A3-52D2-B613-5C0B-6E115797F0EB}"/>
            </a:ext>
          </a:extLst>
        </cdr:cNvPr>
        <cdr:cNvSpPr txBox="1"/>
      </cdr:nvSpPr>
      <cdr:spPr>
        <a:xfrm xmlns:a="http://schemas.openxmlformats.org/drawingml/2006/main">
          <a:off x="231774" y="12700"/>
          <a:ext cx="2987675" cy="3524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IN" sz="1200" b="1" kern="1200">
              <a:solidFill>
                <a:schemeClr val="tx1">
                  <a:lumMod val="75000"/>
                  <a:lumOff val="25000"/>
                </a:schemeClr>
              </a:solidFill>
            </a:rPr>
            <a:t>Top</a:t>
          </a:r>
          <a:r>
            <a:rPr lang="en-IN" sz="1200" b="1" kern="1200" baseline="0">
              <a:solidFill>
                <a:schemeClr val="tx1">
                  <a:lumMod val="75000"/>
                  <a:lumOff val="25000"/>
                </a:schemeClr>
              </a:solidFill>
            </a:rPr>
            <a:t> 5 Countries by Production (Tons)</a:t>
          </a:r>
          <a:endParaRPr lang="en-IN" sz="1200" b="1" kern="1200">
            <a:solidFill>
              <a:schemeClr val="tx1">
                <a:lumMod val="75000"/>
                <a:lumOff val="25000"/>
              </a:schemeClr>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0.05589</cdr:x>
      <cdr:y>6.0686E-7</cdr:y>
    </cdr:from>
    <cdr:to>
      <cdr:x>0.94718</cdr:x>
      <cdr:y>0.15029</cdr:y>
    </cdr:to>
    <cdr:sp macro="" textlink="">
      <cdr:nvSpPr>
        <cdr:cNvPr id="2" name="TextBox 1">
          <a:extLst xmlns:a="http://schemas.openxmlformats.org/drawingml/2006/main">
            <a:ext uri="{FF2B5EF4-FFF2-40B4-BE49-F238E27FC236}">
              <a16:creationId xmlns:a16="http://schemas.microsoft.com/office/drawing/2014/main" id="{5A152C41-A7AF-285F-91C8-B68B891CF45D}"/>
            </a:ext>
          </a:extLst>
        </cdr:cNvPr>
        <cdr:cNvSpPr txBox="1"/>
      </cdr:nvSpPr>
      <cdr:spPr>
        <a:xfrm xmlns:a="http://schemas.openxmlformats.org/drawingml/2006/main">
          <a:off x="174625" y="1"/>
          <a:ext cx="2784546" cy="24765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IN" sz="1200" b="1" kern="1200">
              <a:solidFill>
                <a:schemeClr val="tx1">
                  <a:lumMod val="75000"/>
                  <a:lumOff val="25000"/>
                </a:schemeClr>
              </a:solidFill>
            </a:rPr>
            <a:t>Top</a:t>
          </a:r>
          <a:r>
            <a:rPr lang="en-IN" sz="1200" b="1" kern="1200" baseline="0">
              <a:solidFill>
                <a:schemeClr val="tx1">
                  <a:lumMod val="75000"/>
                  <a:lumOff val="25000"/>
                </a:schemeClr>
              </a:solidFill>
            </a:rPr>
            <a:t> 5 Countries by Yield (Kg/hectare)</a:t>
          </a:r>
          <a:endParaRPr lang="en-IN" sz="1200" b="1" kern="1200">
            <a:solidFill>
              <a:schemeClr val="tx1">
                <a:lumMod val="75000"/>
                <a:lumOff val="25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m ranjan" refreshedDate="46126.468634837962" createdVersion="8" refreshedVersion="8" minRefreshableVersion="3" recordCount="103" xr:uid="{A2617C72-2E29-4CB8-8A86-134999B30802}">
  <cacheSource type="worksheet">
    <worksheetSource name="List_of_Countries_by_Sugarcane_Production"/>
  </cacheSource>
  <cacheFields count="8">
    <cacheField name="Serial No." numFmtId="0">
      <sharedItems containsSemiMixedTypes="0" containsString="0" containsNumber="1" containsInteger="1" minValue="1" maxValue="103"/>
    </cacheField>
    <cacheField name="Country" numFmtId="0">
      <sharedItems count="103">
        <s v="Brazil"/>
        <s v="India"/>
        <s v="China"/>
        <s v="Thailand"/>
        <s v="Pakistan"/>
        <s v="Mexico"/>
        <s v="Colombia"/>
        <s v="Australia"/>
        <s v="Guatemala"/>
        <s v="United States of America"/>
        <s v="Indonesia"/>
        <s v="Philippines"/>
        <s v="Argentina"/>
        <s v="Cuba"/>
        <s v="Vietnam"/>
        <s v="Egypt"/>
        <s v="South Africa"/>
        <s v="Myanmar"/>
        <s v="Peru"/>
        <s v="Ecuador"/>
        <s v="Iran"/>
        <s v="El Salvador"/>
        <s v="Kenya"/>
        <s v="Bolivia"/>
        <s v="Nicaragua"/>
        <s v="Paraguay"/>
        <s v="Swaziland"/>
        <s v="Sudan"/>
        <s v="Honduras"/>
        <s v="Dominican Republic"/>
        <s v="Nepal"/>
        <s v="Zambia"/>
        <s v="Bangladesh"/>
        <s v="Costa Rica"/>
        <s v="Mauritius"/>
        <s v="Uganda"/>
        <s v="Zimbabwe"/>
        <s v="Venezuela"/>
        <s v="Madagascar"/>
        <s v="Tanzania"/>
        <s v="Malawi"/>
        <s v="Mozambique"/>
        <s v="Panama"/>
        <s v="Guyana"/>
        <s v="Congo-Kinshasa"/>
        <s v="Laos"/>
        <s v="Côte d'Ivoire"/>
        <s v="Japan"/>
        <s v="Fiji"/>
        <s v="Haiti"/>
        <s v="Belize"/>
        <s v="Jamaica"/>
        <s v="Ethiopia"/>
        <s v="Nigeria"/>
        <s v="Cameroon"/>
        <s v="Trinidad and Tobago"/>
        <s v="Sri Lanka"/>
        <s v="Senegal"/>
        <s v="Congo-Brazzaville"/>
        <s v="Cambodia"/>
        <s v="Angola"/>
        <s v="Burkina Faso"/>
        <s v="Chad"/>
        <s v="Morocco"/>
        <s v="Taiwan"/>
        <s v="Uruguay"/>
        <s v="Mali"/>
        <s v="Guinea"/>
        <s v="Gabon"/>
        <s v="Liberia"/>
        <s v="Burundi"/>
        <s v="Papua New Guinea"/>
        <s v="Niger"/>
        <s v="Somalia"/>
        <s v="Ghana"/>
        <s v="Suriname"/>
        <s v="Central African Republic"/>
        <s v="Saint Kitts and Nevis"/>
        <s v="Rwanda"/>
        <s v="Barbados"/>
        <s v="Sierra Leone"/>
        <s v="The Bahamas"/>
        <s v="Cape Verde"/>
        <s v="Saint Vincent and the Grenadines"/>
        <s v="Afghanistan"/>
        <s v="Bhutan"/>
        <s v="Benin"/>
        <s v="Iraq"/>
        <s v="Saint Lucia"/>
        <s v="Grenada"/>
        <s v="Guinea-Bissau"/>
        <s v="Malaysia"/>
        <s v="Portugal"/>
        <s v="Antigua and Barbuda"/>
        <s v="Dominica"/>
        <s v="Oman"/>
        <s v="Yemen"/>
        <s v="Spain"/>
        <s v="Lebanon"/>
        <s v="Djibouti"/>
        <s v="Singapore"/>
        <s v="Samoa"/>
        <s v="Syria"/>
      </sharedItems>
    </cacheField>
    <cacheField name="Continent" numFmtId="0">
      <sharedItems count="6">
        <s v="South America"/>
        <s v="Asia"/>
        <s v="North America"/>
        <s v="Australia"/>
        <s v="Africa"/>
        <s v="Europe"/>
      </sharedItems>
    </cacheField>
    <cacheField name="Production (Tons)" numFmtId="0">
      <sharedItems containsSemiMixedTypes="0" containsString="0" containsNumber="1" containsInteger="1" minValue="1" maxValue="768678382"/>
    </cacheField>
    <cacheField name="Production per Person (Kg)" numFmtId="0">
      <sharedItems containsSemiMixedTypes="0" containsString="0" containsNumber="1" containsInteger="1" minValue="0" maxValue="951087"/>
    </cacheField>
    <cacheField name="Acreage (Hectare)" numFmtId="0">
      <sharedItems containsSemiMixedTypes="0" containsString="0" containsNumber="1" containsInteger="1" minValue="0" maxValue="10226205"/>
    </cacheField>
    <cacheField name="Yield (Kg / Hectare)" numFmtId="0">
      <sharedItems containsSemiMixedTypes="0" containsString="0" containsNumber="1" containsInteger="1" minValue="10" maxValue="129049"/>
    </cacheField>
    <cacheField name="Filter" numFmtId="0">
      <sharedItems/>
    </cacheField>
  </cacheFields>
  <extLst>
    <ext xmlns:x14="http://schemas.microsoft.com/office/spreadsheetml/2009/9/main" uri="{725AE2AE-9491-48be-B2B4-4EB974FC3084}">
      <x14:pivotCacheDefinition pivotCacheId="16757677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
  <r>
    <n v="1"/>
    <x v="0"/>
    <x v="0"/>
    <n v="768678382"/>
    <n v="3669"/>
    <n v="10226205"/>
    <n v="75168"/>
    <s v="No"/>
  </r>
  <r>
    <n v="2"/>
    <x v="1"/>
    <x v="1"/>
    <n v="348448000"/>
    <n v="260721"/>
    <n v="4950000"/>
    <n v="70394"/>
    <s v="No"/>
  </r>
  <r>
    <n v="3"/>
    <x v="2"/>
    <x v="1"/>
    <n v="123059739"/>
    <n v="88287"/>
    <n v="1675215"/>
    <n v="73459"/>
    <s v="No"/>
  </r>
  <r>
    <n v="4"/>
    <x v="3"/>
    <x v="1"/>
    <n v="87468496"/>
    <n v="1264"/>
    <n v="1336575"/>
    <n v="65442"/>
    <s v="No"/>
  </r>
  <r>
    <n v="5"/>
    <x v="4"/>
    <x v="1"/>
    <n v="65450704"/>
    <n v="324219"/>
    <n v="1130820"/>
    <n v="57879"/>
    <s v="No"/>
  </r>
  <r>
    <n v="6"/>
    <x v="5"/>
    <x v="2"/>
    <n v="56446821"/>
    <n v="452524"/>
    <n v="781054"/>
    <n v="7227"/>
    <s v="No"/>
  </r>
  <r>
    <n v="7"/>
    <x v="6"/>
    <x v="0"/>
    <n v="36951213"/>
    <n v="740075"/>
    <n v="416626"/>
    <n v="88692"/>
    <s v="No"/>
  </r>
  <r>
    <n v="8"/>
    <x v="7"/>
    <x v="3"/>
    <n v="34403004"/>
    <n v="1373"/>
    <n v="447204"/>
    <n v="76929"/>
    <s v="No"/>
  </r>
  <r>
    <n v="9"/>
    <x v="8"/>
    <x v="2"/>
    <n v="33533403"/>
    <n v="1938"/>
    <n v="25985"/>
    <n v="129049"/>
    <s v="No"/>
  </r>
  <r>
    <n v="10"/>
    <x v="9"/>
    <x v="2"/>
    <n v="29926210"/>
    <n v="91304"/>
    <n v="37053"/>
    <n v="80766"/>
    <s v="No"/>
  </r>
  <r>
    <n v="11"/>
    <x v="10"/>
    <x v="1"/>
    <n v="27158830"/>
    <n v="10248"/>
    <n v="472693"/>
    <n v="57456"/>
    <s v="No"/>
  </r>
  <r>
    <n v="12"/>
    <x v="11"/>
    <x v="1"/>
    <n v="22370546"/>
    <n v="210232"/>
    <n v="410104"/>
    <n v="54548"/>
    <s v="No"/>
  </r>
  <r>
    <n v="13"/>
    <x v="12"/>
    <x v="0"/>
    <n v="21990823"/>
    <n v="494237"/>
    <n v="331699"/>
    <n v="66298"/>
    <s v="No"/>
  </r>
  <r>
    <n v="14"/>
    <x v="13"/>
    <x v="2"/>
    <n v="18890972"/>
    <n v="1684"/>
    <n v="442307"/>
    <n v="42710"/>
    <s v="No"/>
  </r>
  <r>
    <n v="15"/>
    <x v="14"/>
    <x v="1"/>
    <n v="16313145"/>
    <n v="172334"/>
    <n v="256322"/>
    <n v="63643"/>
    <s v="No"/>
  </r>
  <r>
    <n v="16"/>
    <x v="15"/>
    <x v="4"/>
    <n v="15760418"/>
    <n v="161651"/>
    <n v="137011"/>
    <n v="115031"/>
    <s v="No"/>
  </r>
  <r>
    <n v="17"/>
    <x v="16"/>
    <x v="4"/>
    <n v="15074610"/>
    <n v="261143"/>
    <n v="246937"/>
    <n v="61046"/>
    <s v="No"/>
  </r>
  <r>
    <n v="18"/>
    <x v="17"/>
    <x v="1"/>
    <n v="10437058"/>
    <n v="193771"/>
    <n v="16365"/>
    <n v="63777"/>
    <s v="No"/>
  </r>
  <r>
    <n v="19"/>
    <x v="18"/>
    <x v="0"/>
    <n v="9832526"/>
    <n v="314768"/>
    <n v="87696"/>
    <n v="112120"/>
    <s v="No"/>
  </r>
  <r>
    <n v="20"/>
    <x v="19"/>
    <x v="0"/>
    <n v="8661609"/>
    <n v="507518"/>
    <n v="104661"/>
    <n v="82758"/>
    <s v="No"/>
  </r>
  <r>
    <n v="21"/>
    <x v="20"/>
    <x v="1"/>
    <n v="7687593"/>
    <n v="9403"/>
    <n v="95785"/>
    <n v="80259"/>
    <s v="No"/>
  </r>
  <r>
    <n v="22"/>
    <x v="21"/>
    <x v="2"/>
    <n v="7202141"/>
    <n v="1084"/>
    <n v="79103"/>
    <n v="91048"/>
    <s v="No"/>
  </r>
  <r>
    <n v="23"/>
    <x v="22"/>
    <x v="4"/>
    <n v="7094619"/>
    <n v="139244"/>
    <n v="86876"/>
    <n v="81664"/>
    <s v="No"/>
  </r>
  <r>
    <n v="24"/>
    <x v="23"/>
    <x v="0"/>
    <n v="6910805"/>
    <n v="61118"/>
    <n v="152306"/>
    <n v="45374"/>
    <s v="No"/>
  </r>
  <r>
    <n v="25"/>
    <x v="24"/>
    <x v="2"/>
    <n v="6815147"/>
    <n v="1084"/>
    <n v="7413"/>
    <n v="91935"/>
    <s v="No"/>
  </r>
  <r>
    <n v="26"/>
    <x v="25"/>
    <x v="0"/>
    <n v="6708000"/>
    <n v="951087"/>
    <n v="120"/>
    <n v="559"/>
    <s v="No"/>
  </r>
  <r>
    <n v="27"/>
    <x v="26"/>
    <x v="4"/>
    <n v="5583295"/>
    <n v="4816"/>
    <n v="57851"/>
    <n v="96511"/>
    <s v="No"/>
  </r>
  <r>
    <n v="28"/>
    <x v="27"/>
    <x v="4"/>
    <n v="5525059"/>
    <n v="135428"/>
    <n v="69564"/>
    <n v="79424"/>
    <s v="No"/>
  </r>
  <r>
    <n v="29"/>
    <x v="28"/>
    <x v="2"/>
    <n v="5355700"/>
    <n v="59427"/>
    <n v="64666"/>
    <n v="82821"/>
    <s v="No"/>
  </r>
  <r>
    <n v="30"/>
    <x v="29"/>
    <x v="2"/>
    <n v="4717490"/>
    <n v="459519"/>
    <n v="10681"/>
    <n v="44167"/>
    <s v="No"/>
  </r>
  <r>
    <n v="31"/>
    <x v="30"/>
    <x v="1"/>
    <n v="4346754"/>
    <n v="148765"/>
    <n v="80931"/>
    <n v="53709"/>
    <s v="No"/>
  </r>
  <r>
    <n v="32"/>
    <x v="31"/>
    <x v="4"/>
    <n v="4285839"/>
    <n v="253784"/>
    <n v="41695"/>
    <n v="102790"/>
    <s v="No"/>
  </r>
  <r>
    <n v="33"/>
    <x v="32"/>
    <x v="1"/>
    <n v="4207592"/>
    <n v="25481"/>
    <n v="98357"/>
    <n v="42779"/>
    <s v="No"/>
  </r>
  <r>
    <n v="34"/>
    <x v="33"/>
    <x v="2"/>
    <n v="4158370"/>
    <n v="83111"/>
    <n v="6903"/>
    <n v="6024"/>
    <s v="No"/>
  </r>
  <r>
    <n v="35"/>
    <x v="34"/>
    <x v="4"/>
    <n v="3798448"/>
    <n v="3003"/>
    <n v="51477"/>
    <n v="73789"/>
    <s v="No"/>
  </r>
  <r>
    <n v="36"/>
    <x v="35"/>
    <x v="4"/>
    <n v="3723019"/>
    <n v="95897"/>
    <n v="54911"/>
    <n v="67801"/>
    <s v="No"/>
  </r>
  <r>
    <n v="37"/>
    <x v="36"/>
    <x v="4"/>
    <n v="3483000"/>
    <n v="234563"/>
    <n v="435"/>
    <n v="80069"/>
    <s v="No"/>
  </r>
  <r>
    <n v="38"/>
    <x v="37"/>
    <x v="0"/>
    <n v="3331252"/>
    <n v="104664"/>
    <n v="5223"/>
    <n v="63780"/>
    <s v="No"/>
  </r>
  <r>
    <n v="39"/>
    <x v="38"/>
    <x v="4"/>
    <n v="3005641"/>
    <n v="114445"/>
    <n v="94157"/>
    <n v="31922"/>
    <s v="No"/>
  </r>
  <r>
    <n v="40"/>
    <x v="39"/>
    <x v="4"/>
    <n v="2994127"/>
    <n v="55243"/>
    <n v="108487"/>
    <n v="27599"/>
    <s v="No"/>
  </r>
  <r>
    <n v="41"/>
    <x v="40"/>
    <x v="4"/>
    <n v="2915406"/>
    <n v="162584"/>
    <n v="27087"/>
    <n v="107630"/>
    <s v="No"/>
  </r>
  <r>
    <n v="42"/>
    <x v="41"/>
    <x v="4"/>
    <n v="2761505"/>
    <n v="9568"/>
    <n v="42311"/>
    <n v="65267"/>
    <s v="No"/>
  </r>
  <r>
    <n v="43"/>
    <x v="42"/>
    <x v="2"/>
    <n v="2419638"/>
    <n v="581814"/>
    <n v="37995"/>
    <n v="63683"/>
    <s v="No"/>
  </r>
  <r>
    <n v="44"/>
    <x v="43"/>
    <x v="0"/>
    <n v="2394553"/>
    <n v="3061"/>
    <n v="44311"/>
    <n v="54040"/>
    <s v="No"/>
  </r>
  <r>
    <n v="45"/>
    <x v="44"/>
    <x v="4"/>
    <n v="2191333"/>
    <n v="2694"/>
    <n v="4891"/>
    <n v="44803"/>
    <s v="No"/>
  </r>
  <r>
    <n v="46"/>
    <x v="45"/>
    <x v="1"/>
    <n v="2019000"/>
    <n v="290036"/>
    <n v="3618"/>
    <n v="55804"/>
    <s v="No"/>
  </r>
  <r>
    <n v="47"/>
    <x v="46"/>
    <x v="4"/>
    <n v="1982661"/>
    <n v="79606"/>
    <n v="25205"/>
    <n v="78660"/>
    <s v="No"/>
  </r>
  <r>
    <n v="48"/>
    <x v="47"/>
    <x v="1"/>
    <n v="1574000"/>
    <n v="12444"/>
    <n v="28901"/>
    <n v="54462"/>
    <s v="No"/>
  </r>
  <r>
    <n v="49"/>
    <x v="48"/>
    <x v="3"/>
    <n v="1556692"/>
    <n v="1759"/>
    <n v="36705"/>
    <n v="42411"/>
    <s v="No"/>
  </r>
  <r>
    <n v="50"/>
    <x v="49"/>
    <x v="2"/>
    <n v="1472712"/>
    <n v="132522"/>
    <n v="23184"/>
    <n v="63522"/>
    <s v="No"/>
  </r>
  <r>
    <n v="51"/>
    <x v="50"/>
    <x v="2"/>
    <n v="1457656"/>
    <n v="3682"/>
    <n v="33964"/>
    <n v="42918"/>
    <s v="No"/>
  </r>
  <r>
    <n v="52"/>
    <x v="51"/>
    <x v="2"/>
    <n v="1422432"/>
    <n v="521254"/>
    <n v="26255"/>
    <n v="54178"/>
    <s v="No"/>
  </r>
  <r>
    <n v="53"/>
    <x v="52"/>
    <x v="4"/>
    <n v="1410312"/>
    <n v="13115"/>
    <n v="31237"/>
    <n v="45149"/>
    <s v="No"/>
  </r>
  <r>
    <n v="54"/>
    <x v="53"/>
    <x v="4"/>
    <n v="1337572"/>
    <n v="6776"/>
    <n v="82586"/>
    <n v="16196"/>
    <s v="No"/>
  </r>
  <r>
    <n v="55"/>
    <x v="54"/>
    <x v="4"/>
    <n v="1288732"/>
    <n v="54162"/>
    <n v="135984"/>
    <n v="9477"/>
    <s v="No"/>
  </r>
  <r>
    <n v="56"/>
    <x v="55"/>
    <x v="2"/>
    <n v="810"/>
    <n v="597066"/>
    <n v="15"/>
    <n v="54"/>
    <s v="No"/>
  </r>
  <r>
    <n v="57"/>
    <x v="56"/>
    <x v="1"/>
    <n v="747907"/>
    <n v="34877"/>
    <n v="16751"/>
    <n v="44648"/>
    <s v="No"/>
  </r>
  <r>
    <n v="58"/>
    <x v="57"/>
    <x v="4"/>
    <n v="696992"/>
    <n v="44321"/>
    <n v="5902"/>
    <n v="118085"/>
    <s v="No"/>
  </r>
  <r>
    <n v="59"/>
    <x v="58"/>
    <x v="4"/>
    <n v="687365"/>
    <n v="127292"/>
    <n v="20132"/>
    <n v="34142"/>
    <s v="No"/>
  </r>
  <r>
    <n v="60"/>
    <x v="59"/>
    <x v="1"/>
    <n v="610878"/>
    <n v="38014"/>
    <n v="27387"/>
    <n v="22306"/>
    <s v="No"/>
  </r>
  <r>
    <n v="61"/>
    <x v="60"/>
    <x v="4"/>
    <n v="556094"/>
    <n v="19012"/>
    <n v="14255"/>
    <n v="39012"/>
    <s v="No"/>
  </r>
  <r>
    <n v="62"/>
    <x v="61"/>
    <x v="4"/>
    <n v="484872"/>
    <n v="23951"/>
    <n v="4823"/>
    <n v="100526"/>
    <s v="No"/>
  </r>
  <r>
    <n v="63"/>
    <x v="62"/>
    <x v="4"/>
    <n v="455986"/>
    <n v="297"/>
    <n v="4433"/>
    <n v="102867"/>
    <s v="No"/>
  </r>
  <r>
    <n v="64"/>
    <x v="63"/>
    <x v="4"/>
    <n v="426503"/>
    <n v="12265"/>
    <n v="10434"/>
    <n v="40876"/>
    <s v="No"/>
  </r>
  <r>
    <n v="65"/>
    <x v="64"/>
    <x v="1"/>
    <n v="3958"/>
    <n v="16788"/>
    <n v="5917"/>
    <n v="66897"/>
    <s v="No"/>
  </r>
  <r>
    <n v="66"/>
    <x v="65"/>
    <x v="0"/>
    <n v="3677"/>
    <n v="104878"/>
    <n v="76"/>
    <n v="48382"/>
    <s v="No"/>
  </r>
  <r>
    <n v="67"/>
    <x v="66"/>
    <x v="4"/>
    <n v="365119"/>
    <n v="19108"/>
    <n v="5035"/>
    <n v="72521"/>
    <s v="No"/>
  </r>
  <r>
    <n v="68"/>
    <x v="67"/>
    <x v="4"/>
    <n v="304975"/>
    <n v="25664"/>
    <n v="5683"/>
    <n v="53668"/>
    <s v="No"/>
  </r>
  <r>
    <n v="69"/>
    <x v="68"/>
    <x v="4"/>
    <n v="286466"/>
    <n v="138553"/>
    <n v="4645"/>
    <n v="61675"/>
    <s v="No"/>
  </r>
  <r>
    <n v="70"/>
    <x v="69"/>
    <x v="4"/>
    <n v="272804"/>
    <n v="6225"/>
    <n v="26781"/>
    <n v="10186"/>
    <s v="No"/>
  </r>
  <r>
    <n v="71"/>
    <x v="70"/>
    <x v="4"/>
    <n v="218115"/>
    <n v="2042"/>
    <n v="2998"/>
    <n v="72754"/>
    <s v="No"/>
  </r>
  <r>
    <n v="72"/>
    <x v="71"/>
    <x v="3"/>
    <n v="217866"/>
    <n v="25455"/>
    <n v="6999"/>
    <n v="31129"/>
    <s v="No"/>
  </r>
  <r>
    <n v="73"/>
    <x v="72"/>
    <x v="4"/>
    <n v="216037"/>
    <n v="10064"/>
    <n v="584"/>
    <n v="36990"/>
    <s v="No"/>
  </r>
  <r>
    <n v="74"/>
    <x v="73"/>
    <x v="4"/>
    <n v="21062"/>
    <n v="13873"/>
    <n v="5731"/>
    <n v="36749"/>
    <s v="No"/>
  </r>
  <r>
    <n v="75"/>
    <x v="74"/>
    <x v="4"/>
    <n v="152136"/>
    <n v="5137"/>
    <n v="6122"/>
    <n v="24849"/>
    <s v="No"/>
  </r>
  <r>
    <n v="76"/>
    <x v="75"/>
    <x v="0"/>
    <n v="125286"/>
    <n v="220457"/>
    <n v="313"/>
    <n v="40022"/>
    <s v="No"/>
  </r>
  <r>
    <n v="77"/>
    <x v="76"/>
    <x v="4"/>
    <n v="103002"/>
    <n v="21742"/>
    <n v="18466"/>
    <n v="5578"/>
    <s v="No"/>
  </r>
  <r>
    <n v="78"/>
    <x v="77"/>
    <x v="2"/>
    <n v="100"/>
    <n v="2164"/>
    <n v="18"/>
    <n v="55556"/>
    <s v="No"/>
  </r>
  <r>
    <n v="79"/>
    <x v="78"/>
    <x v="4"/>
    <n v="93823"/>
    <n v="7818"/>
    <n v="1103"/>
    <n v="8506"/>
    <s v="No"/>
  </r>
  <r>
    <n v="80"/>
    <x v="79"/>
    <x v="2"/>
    <n v="83369"/>
    <n v="291105"/>
    <n v="1733"/>
    <n v="48107"/>
    <s v="No"/>
  </r>
  <r>
    <n v="81"/>
    <x v="80"/>
    <x v="4"/>
    <n v="77269"/>
    <n v="10009"/>
    <n v="1107"/>
    <n v="69811"/>
    <s v="No"/>
  </r>
  <r>
    <n v="82"/>
    <x v="81"/>
    <x v="2"/>
    <n v="57602"/>
    <n v="151059"/>
    <n v="2308"/>
    <n v="24954"/>
    <s v="No"/>
  </r>
  <r>
    <n v="83"/>
    <x v="82"/>
    <x v="4"/>
    <n v="28375"/>
    <n v="52152"/>
    <n v="1296"/>
    <n v="21888"/>
    <s v="No"/>
  </r>
  <r>
    <n v="84"/>
    <x v="83"/>
    <x v="2"/>
    <n v="17871"/>
    <n v="163121"/>
    <n v="732"/>
    <n v="24429"/>
    <s v="No"/>
  </r>
  <r>
    <n v="85"/>
    <x v="84"/>
    <x v="1"/>
    <n v="17364"/>
    <n v="55"/>
    <n v="1333"/>
    <n v="13026"/>
    <s v="No"/>
  </r>
  <r>
    <n v="86"/>
    <x v="85"/>
    <x v="1"/>
    <n v="146"/>
    <n v="20079"/>
    <n v="467"/>
    <n v="31253"/>
    <s v="No"/>
  </r>
  <r>
    <n v="87"/>
    <x v="86"/>
    <x v="4"/>
    <n v="12017"/>
    <n v="1058"/>
    <n v="598"/>
    <n v="20095"/>
    <s v="No"/>
  </r>
  <r>
    <n v="88"/>
    <x v="87"/>
    <x v="1"/>
    <n v="1167"/>
    <n v="297"/>
    <n v="584"/>
    <n v="20"/>
    <s v="No"/>
  </r>
  <r>
    <n v="89"/>
    <x v="88"/>
    <x v="2"/>
    <n v="10"/>
    <n v="55915"/>
    <n v="125"/>
    <n v="80"/>
    <s v="No"/>
  </r>
  <r>
    <n v="90"/>
    <x v="89"/>
    <x v="2"/>
    <n v="7273"/>
    <n v="70388"/>
    <n v="162"/>
    <n v="44822"/>
    <s v="No"/>
  </r>
  <r>
    <n v="91"/>
    <x v="90"/>
    <x v="4"/>
    <n v="6864"/>
    <n v="4331"/>
    <n v="259"/>
    <n v="26499"/>
    <s v="No"/>
  </r>
  <r>
    <n v="92"/>
    <x v="91"/>
    <x v="1"/>
    <n v="5714"/>
    <n v="175"/>
    <n v="88"/>
    <n v="65224"/>
    <s v="No"/>
  </r>
  <r>
    <n v="93"/>
    <x v="92"/>
    <x v="5"/>
    <n v="5429"/>
    <n v="528"/>
    <n v="62"/>
    <n v="88274"/>
    <s v="No"/>
  </r>
  <r>
    <n v="94"/>
    <x v="93"/>
    <x v="2"/>
    <n v="5365"/>
    <n v="6217"/>
    <n v="83"/>
    <n v="64639"/>
    <s v="No"/>
  </r>
  <r>
    <n v="95"/>
    <x v="94"/>
    <x v="2"/>
    <n v="4855"/>
    <n v="68099"/>
    <n v="244"/>
    <n v="19914"/>
    <s v="No"/>
  </r>
  <r>
    <n v="96"/>
    <x v="95"/>
    <x v="1"/>
    <n v="1186"/>
    <n v="237"/>
    <n v="51"/>
    <n v="23432"/>
    <s v="No"/>
  </r>
  <r>
    <n v="97"/>
    <x v="96"/>
    <x v="1"/>
    <n v="500"/>
    <n v="17"/>
    <n v="50"/>
    <n v="10"/>
    <s v="No"/>
  </r>
  <r>
    <n v="98"/>
    <x v="97"/>
    <x v="5"/>
    <n v="394"/>
    <n v="8"/>
    <n v="9"/>
    <n v="43596"/>
    <s v="No"/>
  </r>
  <r>
    <n v="99"/>
    <x v="98"/>
    <x v="1"/>
    <n v="97"/>
    <n v="16"/>
    <n v="3"/>
    <n v="28386"/>
    <s v="No"/>
  </r>
  <r>
    <n v="100"/>
    <x v="99"/>
    <x v="4"/>
    <n v="53"/>
    <n v="51"/>
    <n v="249898"/>
    <n v="52628"/>
    <s v="No"/>
  </r>
  <r>
    <n v="101"/>
    <x v="100"/>
    <x v="1"/>
    <n v="50"/>
    <n v="9"/>
    <n v="2"/>
    <n v="25"/>
    <s v="No"/>
  </r>
  <r>
    <n v="102"/>
    <x v="101"/>
    <x v="3"/>
    <n v="12"/>
    <n v="6"/>
    <n v="1"/>
    <n v="11950"/>
    <s v="No"/>
  </r>
  <r>
    <n v="103"/>
    <x v="102"/>
    <x v="1"/>
    <n v="1"/>
    <n v="0"/>
    <n v="0"/>
    <n v="83034"/>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41E2EE-650F-4B55-A218-E815B1A19500}"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ntinents">
  <location ref="G1:G7" firstHeaderRow="1" firstDataRow="1" firstDataCol="1"/>
  <pivotFields count="8">
    <pivotField showAll="0"/>
    <pivotField showAll="0"/>
    <pivotField axis="axisRow" showAll="0">
      <items count="7">
        <item x="4"/>
        <item x="1"/>
        <item x="3"/>
        <item x="5"/>
        <item x="2"/>
        <item x="0"/>
        <item t="default"/>
      </items>
    </pivotField>
    <pivotField showAll="0"/>
    <pivotField showAll="0"/>
    <pivotField showAll="0"/>
    <pivotField showAll="0"/>
    <pivotField showAll="0"/>
  </pivotFields>
  <rowFields count="1">
    <field x="2"/>
  </rowFields>
  <rowItems count="6">
    <i>
      <x/>
    </i>
    <i>
      <x v="1"/>
    </i>
    <i>
      <x v="2"/>
    </i>
    <i>
      <x v="3"/>
    </i>
    <i>
      <x v="4"/>
    </i>
    <i>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6F05F0-1931-4C39-8A0B-6522878804E6}"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8" rowHeaderCaption="Country">
  <location ref="A1:B7" firstHeaderRow="1" firstDataRow="1" firstDataCol="1"/>
  <pivotFields count="8">
    <pivotField showAll="0"/>
    <pivotField axis="axisRow" showAll="0" measureFilter="1" sortType="ascending">
      <items count="104">
        <item x="84"/>
        <item x="60"/>
        <item x="93"/>
        <item x="12"/>
        <item x="7"/>
        <item x="32"/>
        <item x="79"/>
        <item x="50"/>
        <item x="86"/>
        <item x="85"/>
        <item x="23"/>
        <item x="0"/>
        <item x="61"/>
        <item x="70"/>
        <item x="59"/>
        <item x="54"/>
        <item x="82"/>
        <item x="76"/>
        <item x="62"/>
        <item x="2"/>
        <item x="6"/>
        <item x="58"/>
        <item x="44"/>
        <item x="33"/>
        <item x="46"/>
        <item x="13"/>
        <item x="99"/>
        <item x="94"/>
        <item x="29"/>
        <item x="19"/>
        <item x="15"/>
        <item x="21"/>
        <item x="52"/>
        <item x="48"/>
        <item x="68"/>
        <item x="74"/>
        <item x="89"/>
        <item x="8"/>
        <item x="67"/>
        <item x="90"/>
        <item x="43"/>
        <item x="49"/>
        <item x="28"/>
        <item x="1"/>
        <item x="10"/>
        <item x="20"/>
        <item x="87"/>
        <item x="51"/>
        <item x="47"/>
        <item x="22"/>
        <item x="45"/>
        <item x="98"/>
        <item x="69"/>
        <item x="38"/>
        <item x="40"/>
        <item x="91"/>
        <item x="66"/>
        <item x="34"/>
        <item x="5"/>
        <item x="63"/>
        <item x="41"/>
        <item x="17"/>
        <item x="30"/>
        <item x="24"/>
        <item x="72"/>
        <item x="53"/>
        <item x="95"/>
        <item x="4"/>
        <item x="42"/>
        <item x="71"/>
        <item x="25"/>
        <item x="18"/>
        <item x="11"/>
        <item x="92"/>
        <item x="78"/>
        <item x="77"/>
        <item x="88"/>
        <item x="83"/>
        <item x="101"/>
        <item x="57"/>
        <item x="80"/>
        <item x="100"/>
        <item x="73"/>
        <item x="16"/>
        <item x="97"/>
        <item x="56"/>
        <item x="27"/>
        <item x="75"/>
        <item x="26"/>
        <item x="102"/>
        <item x="64"/>
        <item x="39"/>
        <item x="3"/>
        <item x="81"/>
        <item x="55"/>
        <item x="35"/>
        <item x="9"/>
        <item x="65"/>
        <item x="37"/>
        <item x="14"/>
        <item x="96"/>
        <item x="31"/>
        <item x="36"/>
        <item t="default"/>
      </items>
      <autoSortScope>
        <pivotArea dataOnly="0" outline="0" fieldPosition="0">
          <references count="1">
            <reference field="4294967294" count="1" selected="0">
              <x v="0"/>
            </reference>
          </references>
        </pivotArea>
      </autoSortScope>
    </pivotField>
    <pivotField showAll="0">
      <items count="7">
        <item x="4"/>
        <item x="1"/>
        <item x="3"/>
        <item x="5"/>
        <item x="2"/>
        <item x="0"/>
        <item t="default"/>
      </items>
    </pivotField>
    <pivotField dataField="1" showAll="0"/>
    <pivotField showAll="0"/>
    <pivotField showAll="0"/>
    <pivotField showAll="0"/>
    <pivotField showAll="0"/>
  </pivotFields>
  <rowFields count="1">
    <field x="1"/>
  </rowFields>
  <rowItems count="6">
    <i>
      <x v="67"/>
    </i>
    <i>
      <x v="92"/>
    </i>
    <i>
      <x v="19"/>
    </i>
    <i>
      <x v="43"/>
    </i>
    <i>
      <x v="11"/>
    </i>
    <i t="grand">
      <x/>
    </i>
  </rowItems>
  <colItems count="1">
    <i/>
  </colItems>
  <dataFields count="1">
    <dataField name="Total Production (Tons)" fld="3" baseField="1" baseItem="0"/>
  </dataField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0DF51C-1336-4617-92D9-2BF530C1A866}"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rowHeaderCaption="Continent">
  <location ref="A9:C16" firstHeaderRow="0" firstDataRow="1" firstDataCol="1"/>
  <pivotFields count="8">
    <pivotField showAll="0"/>
    <pivotField showAll="0"/>
    <pivotField axis="axisRow" showAll="0" sortType="descending">
      <items count="7">
        <item x="4"/>
        <item x="1"/>
        <item x="3"/>
        <item x="5"/>
        <item x="2"/>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dataField="1" showAll="0"/>
    <pivotField showAll="0"/>
  </pivotFields>
  <rowFields count="1">
    <field x="2"/>
  </rowFields>
  <rowItems count="7">
    <i>
      <x v="5"/>
    </i>
    <i>
      <x v="1"/>
    </i>
    <i>
      <x v="4"/>
    </i>
    <i>
      <x/>
    </i>
    <i>
      <x v="2"/>
    </i>
    <i>
      <x v="3"/>
    </i>
    <i t="grand">
      <x/>
    </i>
  </rowItems>
  <colFields count="1">
    <field x="-2"/>
  </colFields>
  <colItems count="2">
    <i>
      <x/>
    </i>
    <i i="1">
      <x v="1"/>
    </i>
  </colItems>
  <dataFields count="2">
    <dataField name="Total Production (Tons)" fld="3" baseField="2" baseItem="5"/>
    <dataField name="Average Yield (Kg / Hectare)" fld="6" subtotal="average" baseField="2" baseItem="5"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68F993-CD15-4FB7-BED4-7258D8E70DC7}"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rowHeaderCaption="Country">
  <location ref="A18:B24" firstHeaderRow="1" firstDataRow="1" firstDataCol="1"/>
  <pivotFields count="8">
    <pivotField showAll="0"/>
    <pivotField axis="axisRow" showAll="0" measureFilter="1" sortType="ascending">
      <items count="104">
        <item x="84"/>
        <item x="60"/>
        <item x="93"/>
        <item x="12"/>
        <item x="7"/>
        <item x="32"/>
        <item x="79"/>
        <item x="50"/>
        <item x="86"/>
        <item x="85"/>
        <item x="23"/>
        <item x="0"/>
        <item x="61"/>
        <item x="70"/>
        <item x="59"/>
        <item x="54"/>
        <item x="82"/>
        <item x="76"/>
        <item x="62"/>
        <item x="2"/>
        <item x="6"/>
        <item x="58"/>
        <item x="44"/>
        <item x="33"/>
        <item x="46"/>
        <item x="13"/>
        <item x="99"/>
        <item x="94"/>
        <item x="29"/>
        <item x="19"/>
        <item x="15"/>
        <item x="21"/>
        <item x="52"/>
        <item x="48"/>
        <item x="68"/>
        <item x="74"/>
        <item x="89"/>
        <item x="8"/>
        <item x="67"/>
        <item x="90"/>
        <item x="43"/>
        <item x="49"/>
        <item x="28"/>
        <item x="1"/>
        <item x="10"/>
        <item x="20"/>
        <item x="87"/>
        <item x="51"/>
        <item x="47"/>
        <item x="22"/>
        <item x="45"/>
        <item x="98"/>
        <item x="69"/>
        <item x="38"/>
        <item x="40"/>
        <item x="91"/>
        <item x="66"/>
        <item x="34"/>
        <item x="5"/>
        <item x="63"/>
        <item x="41"/>
        <item x="17"/>
        <item x="30"/>
        <item x="24"/>
        <item x="72"/>
        <item x="53"/>
        <item x="95"/>
        <item x="4"/>
        <item x="42"/>
        <item x="71"/>
        <item x="25"/>
        <item x="18"/>
        <item x="11"/>
        <item x="92"/>
        <item x="78"/>
        <item x="77"/>
        <item x="88"/>
        <item x="83"/>
        <item x="101"/>
        <item x="57"/>
        <item x="80"/>
        <item x="100"/>
        <item x="73"/>
        <item x="16"/>
        <item x="97"/>
        <item x="56"/>
        <item x="27"/>
        <item x="75"/>
        <item x="26"/>
        <item x="102"/>
        <item x="64"/>
        <item x="39"/>
        <item x="3"/>
        <item x="81"/>
        <item x="55"/>
        <item x="35"/>
        <item x="9"/>
        <item x="65"/>
        <item x="37"/>
        <item x="14"/>
        <item x="96"/>
        <item x="31"/>
        <item x="36"/>
        <item t="default"/>
      </items>
      <autoSortScope>
        <pivotArea dataOnly="0" outline="0" fieldPosition="0">
          <references count="1">
            <reference field="4294967294" count="1" selected="0">
              <x v="0"/>
            </reference>
          </references>
        </pivotArea>
      </autoSortScope>
    </pivotField>
    <pivotField showAll="0">
      <items count="7">
        <item x="4"/>
        <item x="1"/>
        <item x="3"/>
        <item x="5"/>
        <item x="2"/>
        <item x="0"/>
        <item t="default"/>
      </items>
    </pivotField>
    <pivotField showAll="0"/>
    <pivotField showAll="0"/>
    <pivotField showAll="0"/>
    <pivotField dataField="1" showAll="0"/>
    <pivotField showAll="0"/>
  </pivotFields>
  <rowFields count="1">
    <field x="1"/>
  </rowFields>
  <rowItems count="6">
    <i>
      <x v="54"/>
    </i>
    <i>
      <x v="71"/>
    </i>
    <i>
      <x v="30"/>
    </i>
    <i>
      <x v="79"/>
    </i>
    <i>
      <x v="37"/>
    </i>
    <i t="grand">
      <x/>
    </i>
  </rowItems>
  <colItems count="1">
    <i/>
  </colItems>
  <dataFields count="1">
    <dataField name="Average of Yield (Kg / Hectare)" fld="6" subtotal="average" baseField="1" baseItem="54"/>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6041C3-1F79-4C48-A840-ABE34BAD4B37}"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rowHeaderCaption="Continents">
  <location ref="E9:G15" firstHeaderRow="0" firstDataRow="1" firstDataCol="1"/>
  <pivotFields count="8">
    <pivotField showAll="0"/>
    <pivotField showAll="0"/>
    <pivotField axis="axisRow" showAll="0" measureFilter="1">
      <items count="7">
        <item x="4"/>
        <item x="1"/>
        <item x="3"/>
        <item x="5"/>
        <item x="2"/>
        <item x="0"/>
        <item t="default"/>
      </items>
    </pivotField>
    <pivotField dataField="1" showAll="0"/>
    <pivotField showAll="0"/>
    <pivotField showAll="0"/>
    <pivotField showAll="0"/>
    <pivotField showAll="0"/>
  </pivotFields>
  <rowFields count="1">
    <field x="2"/>
  </rowFields>
  <rowItems count="6">
    <i>
      <x/>
    </i>
    <i>
      <x v="1"/>
    </i>
    <i>
      <x v="2"/>
    </i>
    <i>
      <x v="4"/>
    </i>
    <i>
      <x v="5"/>
    </i>
    <i t="grand">
      <x/>
    </i>
  </rowItems>
  <colFields count="1">
    <field x="-2"/>
  </colFields>
  <colItems count="2">
    <i>
      <x/>
    </i>
    <i i="1">
      <x v="1"/>
    </i>
  </colItems>
  <dataFields count="2">
    <dataField name="Total Production  of continent(Tons)" fld="3" baseField="2" baseItem="0"/>
    <dataField name="percentage of Production (Tons)" fld="3" showDataAs="percentOfTotal" baseField="0" baseItem="0" numFmtId="9"/>
  </dataFields>
  <formats count="2">
    <format dxfId="1">
      <pivotArea collapsedLevelsAreSubtotals="1" fieldPosition="0">
        <references count="2">
          <reference field="4294967294" count="1" selected="0">
            <x v="1"/>
          </reference>
          <reference field="2" count="1">
            <x v="2"/>
          </reference>
        </references>
      </pivotArea>
    </format>
    <format dxfId="0">
      <pivotArea outline="0" collapsedLevelsAreSubtotals="1" fieldPosition="0">
        <references count="1">
          <reference field="4294967294" count="1" selected="0">
            <x v="1"/>
          </reference>
        </references>
      </pivotArea>
    </format>
  </formats>
  <chartFormats count="48">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pivotArea type="data" outline="0" fieldPosition="0">
        <references count="2">
          <reference field="4294967294" count="1" selected="0">
            <x v="0"/>
          </reference>
          <reference field="2" count="1" selected="0">
            <x v="2"/>
          </reference>
        </references>
      </pivotArea>
    </chartFormat>
    <chartFormat chart="7" format="3">
      <pivotArea type="data" outline="0" fieldPosition="0">
        <references count="2">
          <reference field="4294967294" count="1" selected="0">
            <x v="0"/>
          </reference>
          <reference field="2" count="1" selected="0">
            <x v="4"/>
          </reference>
        </references>
      </pivotArea>
    </chartFormat>
    <chartFormat chart="7" format="4">
      <pivotArea type="data" outline="0" fieldPosition="0">
        <references count="2">
          <reference field="4294967294" count="1" selected="0">
            <x v="0"/>
          </reference>
          <reference field="2" count="1" selected="0">
            <x v="5"/>
          </reference>
        </references>
      </pivotArea>
    </chartFormat>
    <chartFormat chart="13" format="17" series="1">
      <pivotArea type="data" outline="0" fieldPosition="0">
        <references count="1">
          <reference field="4294967294" count="1" selected="0">
            <x v="0"/>
          </reference>
        </references>
      </pivotArea>
    </chartFormat>
    <chartFormat chart="13" format="18">
      <pivotArea type="data" outline="0" fieldPosition="0">
        <references count="2">
          <reference field="4294967294" count="1" selected="0">
            <x v="0"/>
          </reference>
          <reference field="2" count="1" selected="0">
            <x v="0"/>
          </reference>
        </references>
      </pivotArea>
    </chartFormat>
    <chartFormat chart="13" format="19">
      <pivotArea type="data" outline="0" fieldPosition="0">
        <references count="2">
          <reference field="4294967294" count="1" selected="0">
            <x v="0"/>
          </reference>
          <reference field="2" count="1" selected="0">
            <x v="1"/>
          </reference>
        </references>
      </pivotArea>
    </chartFormat>
    <chartFormat chart="13" format="20">
      <pivotArea type="data" outline="0" fieldPosition="0">
        <references count="2">
          <reference field="4294967294" count="1" selected="0">
            <x v="0"/>
          </reference>
          <reference field="2" count="1" selected="0">
            <x v="2"/>
          </reference>
        </references>
      </pivotArea>
    </chartFormat>
    <chartFormat chart="13" format="21">
      <pivotArea type="data" outline="0" fieldPosition="0">
        <references count="2">
          <reference field="4294967294" count="1" selected="0">
            <x v="0"/>
          </reference>
          <reference field="2" count="1" selected="0">
            <x v="4"/>
          </reference>
        </references>
      </pivotArea>
    </chartFormat>
    <chartFormat chart="13" format="22">
      <pivotArea type="data" outline="0" fieldPosition="0">
        <references count="2">
          <reference field="4294967294" count="1" selected="0">
            <x v="0"/>
          </reference>
          <reference field="2" count="1" selected="0">
            <x v="5"/>
          </reference>
        </references>
      </pivotArea>
    </chartFormat>
    <chartFormat chart="13" format="23" series="1">
      <pivotArea type="data" outline="0" fieldPosition="0">
        <references count="1">
          <reference field="4294967294" count="1" selected="0">
            <x v="1"/>
          </reference>
        </references>
      </pivotArea>
    </chartFormat>
    <chartFormat chart="13" format="24">
      <pivotArea type="data" outline="0" fieldPosition="0">
        <references count="2">
          <reference field="4294967294" count="1" selected="0">
            <x v="1"/>
          </reference>
          <reference field="2" count="1" selected="0">
            <x v="0"/>
          </reference>
        </references>
      </pivotArea>
    </chartFormat>
    <chartFormat chart="13" format="25">
      <pivotArea type="data" outline="0" fieldPosition="0">
        <references count="2">
          <reference field="4294967294" count="1" selected="0">
            <x v="1"/>
          </reference>
          <reference field="2" count="1" selected="0">
            <x v="1"/>
          </reference>
        </references>
      </pivotArea>
    </chartFormat>
    <chartFormat chart="13" format="26">
      <pivotArea type="data" outline="0" fieldPosition="0">
        <references count="2">
          <reference field="4294967294" count="1" selected="0">
            <x v="1"/>
          </reference>
          <reference field="2" count="1" selected="0">
            <x v="2"/>
          </reference>
        </references>
      </pivotArea>
    </chartFormat>
    <chartFormat chart="13" format="27">
      <pivotArea type="data" outline="0" fieldPosition="0">
        <references count="2">
          <reference field="4294967294" count="1" selected="0">
            <x v="1"/>
          </reference>
          <reference field="2" count="1" selected="0">
            <x v="4"/>
          </reference>
        </references>
      </pivotArea>
    </chartFormat>
    <chartFormat chart="13" format="28">
      <pivotArea type="data" outline="0" fieldPosition="0">
        <references count="2">
          <reference field="4294967294" count="1" selected="0">
            <x v="1"/>
          </reference>
          <reference field="2" count="1" selected="0">
            <x v="5"/>
          </reference>
        </references>
      </pivotArea>
    </chartFormat>
    <chartFormat chart="7" format="5">
      <pivotArea type="data" outline="0" fieldPosition="0">
        <references count="2">
          <reference field="4294967294" count="1" selected="0">
            <x v="0"/>
          </reference>
          <reference field="2" count="1" selected="0">
            <x v="0"/>
          </reference>
        </references>
      </pivotArea>
    </chartFormat>
    <chartFormat chart="7" format="6">
      <pivotArea type="data" outline="0" fieldPosition="0">
        <references count="2">
          <reference field="4294967294" count="1" selected="0">
            <x v="0"/>
          </reference>
          <reference field="2" count="1" selected="0">
            <x v="1"/>
          </reference>
        </references>
      </pivotArea>
    </chartFormat>
    <chartFormat chart="7" format="7">
      <pivotArea type="data" outline="0" fieldPosition="0">
        <references count="2">
          <reference field="4294967294" count="1" selected="0">
            <x v="1"/>
          </reference>
          <reference field="2" count="1" selected="0">
            <x v="0"/>
          </reference>
        </references>
      </pivotArea>
    </chartFormat>
    <chartFormat chart="7" format="8">
      <pivotArea type="data" outline="0" fieldPosition="0">
        <references count="2">
          <reference field="4294967294" count="1" selected="0">
            <x v="1"/>
          </reference>
          <reference field="2" count="1" selected="0">
            <x v="1"/>
          </reference>
        </references>
      </pivotArea>
    </chartFormat>
    <chartFormat chart="7" format="9">
      <pivotArea type="data" outline="0" fieldPosition="0">
        <references count="2">
          <reference field="4294967294" count="1" selected="0">
            <x v="1"/>
          </reference>
          <reference field="2" count="1" selected="0">
            <x v="2"/>
          </reference>
        </references>
      </pivotArea>
    </chartFormat>
    <chartFormat chart="7" format="10">
      <pivotArea type="data" outline="0" fieldPosition="0">
        <references count="2">
          <reference field="4294967294" count="1" selected="0">
            <x v="1"/>
          </reference>
          <reference field="2" count="1" selected="0">
            <x v="4"/>
          </reference>
        </references>
      </pivotArea>
    </chartFormat>
    <chartFormat chart="7" format="11">
      <pivotArea type="data" outline="0" fieldPosition="0">
        <references count="2">
          <reference field="4294967294" count="1" selected="0">
            <x v="1"/>
          </reference>
          <reference field="2" count="1" selected="0">
            <x v="5"/>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2" count="1" selected="0">
            <x v="0"/>
          </reference>
        </references>
      </pivotArea>
    </chartFormat>
    <chartFormat chart="14" format="14">
      <pivotArea type="data" outline="0" fieldPosition="0">
        <references count="2">
          <reference field="4294967294" count="1" selected="0">
            <x v="0"/>
          </reference>
          <reference field="2" count="1" selected="0">
            <x v="1"/>
          </reference>
        </references>
      </pivotArea>
    </chartFormat>
    <chartFormat chart="14" format="15">
      <pivotArea type="data" outline="0" fieldPosition="0">
        <references count="2">
          <reference field="4294967294" count="1" selected="0">
            <x v="0"/>
          </reference>
          <reference field="2" count="1" selected="0">
            <x v="2"/>
          </reference>
        </references>
      </pivotArea>
    </chartFormat>
    <chartFormat chart="14" format="16">
      <pivotArea type="data" outline="0" fieldPosition="0">
        <references count="2">
          <reference field="4294967294" count="1" selected="0">
            <x v="0"/>
          </reference>
          <reference field="2" count="1" selected="0">
            <x v="4"/>
          </reference>
        </references>
      </pivotArea>
    </chartFormat>
    <chartFormat chart="14" format="17">
      <pivotArea type="data" outline="0" fieldPosition="0">
        <references count="2">
          <reference field="4294967294" count="1" selected="0">
            <x v="0"/>
          </reference>
          <reference field="2" count="1" selected="0">
            <x v="5"/>
          </reference>
        </references>
      </pivotArea>
    </chartFormat>
    <chartFormat chart="14" format="18" series="1">
      <pivotArea type="data" outline="0" fieldPosition="0">
        <references count="1">
          <reference field="4294967294" count="1" selected="0">
            <x v="1"/>
          </reference>
        </references>
      </pivotArea>
    </chartFormat>
    <chartFormat chart="14" format="19">
      <pivotArea type="data" outline="0" fieldPosition="0">
        <references count="2">
          <reference field="4294967294" count="1" selected="0">
            <x v="1"/>
          </reference>
          <reference field="2" count="1" selected="0">
            <x v="0"/>
          </reference>
        </references>
      </pivotArea>
    </chartFormat>
    <chartFormat chart="14" format="20">
      <pivotArea type="data" outline="0" fieldPosition="0">
        <references count="2">
          <reference field="4294967294" count="1" selected="0">
            <x v="1"/>
          </reference>
          <reference field="2" count="1" selected="0">
            <x v="1"/>
          </reference>
        </references>
      </pivotArea>
    </chartFormat>
    <chartFormat chart="14" format="21">
      <pivotArea type="data" outline="0" fieldPosition="0">
        <references count="2">
          <reference field="4294967294" count="1" selected="0">
            <x v="1"/>
          </reference>
          <reference field="2" count="1" selected="0">
            <x v="2"/>
          </reference>
        </references>
      </pivotArea>
    </chartFormat>
    <chartFormat chart="14" format="22">
      <pivotArea type="data" outline="0" fieldPosition="0">
        <references count="2">
          <reference field="4294967294" count="1" selected="0">
            <x v="1"/>
          </reference>
          <reference field="2" count="1" selected="0">
            <x v="4"/>
          </reference>
        </references>
      </pivotArea>
    </chartFormat>
    <chartFormat chart="14" format="23">
      <pivotArea type="data" outline="0" fieldPosition="0">
        <references count="2">
          <reference field="4294967294" count="1" selected="0">
            <x v="1"/>
          </reference>
          <reference field="2" count="1" selected="0">
            <x v="5"/>
          </reference>
        </references>
      </pivotArea>
    </chartFormat>
    <chartFormat chart="15" format="24" series="1">
      <pivotArea type="data" outline="0" fieldPosition="0">
        <references count="1">
          <reference field="4294967294" count="1" selected="0">
            <x v="0"/>
          </reference>
        </references>
      </pivotArea>
    </chartFormat>
    <chartFormat chart="15" format="25">
      <pivotArea type="data" outline="0" fieldPosition="0">
        <references count="2">
          <reference field="4294967294" count="1" selected="0">
            <x v="0"/>
          </reference>
          <reference field="2" count="1" selected="0">
            <x v="0"/>
          </reference>
        </references>
      </pivotArea>
    </chartFormat>
    <chartFormat chart="15" format="26">
      <pivotArea type="data" outline="0" fieldPosition="0">
        <references count="2">
          <reference field="4294967294" count="1" selected="0">
            <x v="0"/>
          </reference>
          <reference field="2" count="1" selected="0">
            <x v="1"/>
          </reference>
        </references>
      </pivotArea>
    </chartFormat>
    <chartFormat chart="15" format="27">
      <pivotArea type="data" outline="0" fieldPosition="0">
        <references count="2">
          <reference field="4294967294" count="1" selected="0">
            <x v="0"/>
          </reference>
          <reference field="2" count="1" selected="0">
            <x v="2"/>
          </reference>
        </references>
      </pivotArea>
    </chartFormat>
    <chartFormat chart="15" format="28">
      <pivotArea type="data" outline="0" fieldPosition="0">
        <references count="2">
          <reference field="4294967294" count="1" selected="0">
            <x v="0"/>
          </reference>
          <reference field="2" count="1" selected="0">
            <x v="4"/>
          </reference>
        </references>
      </pivotArea>
    </chartFormat>
    <chartFormat chart="15" format="29">
      <pivotArea type="data" outline="0" fieldPosition="0">
        <references count="2">
          <reference field="4294967294" count="1" selected="0">
            <x v="0"/>
          </reference>
          <reference field="2" count="1" selected="0">
            <x v="5"/>
          </reference>
        </references>
      </pivotArea>
    </chartFormat>
    <chartFormat chart="15" format="30" series="1">
      <pivotArea type="data" outline="0" fieldPosition="0">
        <references count="1">
          <reference field="4294967294" count="1" selected="0">
            <x v="1"/>
          </reference>
        </references>
      </pivotArea>
    </chartFormat>
    <chartFormat chart="15" format="31">
      <pivotArea type="data" outline="0" fieldPosition="0">
        <references count="2">
          <reference field="4294967294" count="1" selected="0">
            <x v="1"/>
          </reference>
          <reference field="2" count="1" selected="0">
            <x v="0"/>
          </reference>
        </references>
      </pivotArea>
    </chartFormat>
    <chartFormat chart="15" format="32">
      <pivotArea type="data" outline="0" fieldPosition="0">
        <references count="2">
          <reference field="4294967294" count="1" selected="0">
            <x v="1"/>
          </reference>
          <reference field="2" count="1" selected="0">
            <x v="1"/>
          </reference>
        </references>
      </pivotArea>
    </chartFormat>
    <chartFormat chart="15" format="33">
      <pivotArea type="data" outline="0" fieldPosition="0">
        <references count="2">
          <reference field="4294967294" count="1" selected="0">
            <x v="1"/>
          </reference>
          <reference field="2" count="1" selected="0">
            <x v="2"/>
          </reference>
        </references>
      </pivotArea>
    </chartFormat>
    <chartFormat chart="15" format="34">
      <pivotArea type="data" outline="0" fieldPosition="0">
        <references count="2">
          <reference field="4294967294" count="1" selected="0">
            <x v="1"/>
          </reference>
          <reference field="2" count="1" selected="0">
            <x v="4"/>
          </reference>
        </references>
      </pivotArea>
    </chartFormat>
    <chartFormat chart="15" format="35">
      <pivotArea type="data" outline="0" fieldPosition="0">
        <references count="2">
          <reference field="4294967294" count="1" selected="0">
            <x v="1"/>
          </reference>
          <reference field="2" count="1" selected="0">
            <x v="5"/>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32926A-BDD1-4C97-8F21-98C4B3550D95}"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rowHeaderCaption="Country">
  <location ref="D1:E7" firstHeaderRow="1" firstDataRow="1" firstDataCol="1"/>
  <pivotFields count="8">
    <pivotField showAll="0"/>
    <pivotField axis="axisRow" showAll="0" measureFilter="1" sortType="descending">
      <items count="104">
        <item x="84"/>
        <item x="60"/>
        <item x="93"/>
        <item x="12"/>
        <item x="7"/>
        <item x="32"/>
        <item x="79"/>
        <item x="50"/>
        <item x="86"/>
        <item x="85"/>
        <item x="23"/>
        <item x="0"/>
        <item x="61"/>
        <item x="70"/>
        <item x="59"/>
        <item x="54"/>
        <item x="82"/>
        <item x="76"/>
        <item x="62"/>
        <item x="2"/>
        <item x="6"/>
        <item x="58"/>
        <item x="44"/>
        <item x="33"/>
        <item x="46"/>
        <item x="13"/>
        <item x="99"/>
        <item x="94"/>
        <item x="29"/>
        <item x="19"/>
        <item x="15"/>
        <item x="21"/>
        <item x="52"/>
        <item x="48"/>
        <item x="68"/>
        <item x="74"/>
        <item x="89"/>
        <item x="8"/>
        <item x="67"/>
        <item x="90"/>
        <item x="43"/>
        <item x="49"/>
        <item x="28"/>
        <item x="1"/>
        <item x="10"/>
        <item x="20"/>
        <item x="87"/>
        <item x="51"/>
        <item x="47"/>
        <item x="22"/>
        <item x="45"/>
        <item x="98"/>
        <item x="69"/>
        <item x="38"/>
        <item x="40"/>
        <item x="91"/>
        <item x="66"/>
        <item x="34"/>
        <item x="5"/>
        <item x="63"/>
        <item x="41"/>
        <item x="17"/>
        <item x="30"/>
        <item x="24"/>
        <item x="72"/>
        <item x="53"/>
        <item x="95"/>
        <item x="4"/>
        <item x="42"/>
        <item x="71"/>
        <item x="25"/>
        <item x="18"/>
        <item x="11"/>
        <item x="92"/>
        <item x="78"/>
        <item x="77"/>
        <item x="88"/>
        <item x="83"/>
        <item x="101"/>
        <item x="57"/>
        <item x="80"/>
        <item x="100"/>
        <item x="73"/>
        <item x="16"/>
        <item x="97"/>
        <item x="56"/>
        <item x="27"/>
        <item x="75"/>
        <item x="26"/>
        <item x="102"/>
        <item x="64"/>
        <item x="39"/>
        <item x="3"/>
        <item x="81"/>
        <item x="55"/>
        <item x="35"/>
        <item x="9"/>
        <item x="65"/>
        <item x="37"/>
        <item x="14"/>
        <item x="96"/>
        <item x="31"/>
        <item x="36"/>
        <item t="default"/>
      </items>
      <autoSortScope>
        <pivotArea dataOnly="0" outline="0" fieldPosition="0">
          <references count="1">
            <reference field="4294967294" count="1" selected="0">
              <x v="0"/>
            </reference>
          </references>
        </pivotArea>
      </autoSortScope>
    </pivotField>
    <pivotField showAll="0">
      <items count="7">
        <item x="4"/>
        <item x="1"/>
        <item x="3"/>
        <item x="5"/>
        <item x="2"/>
        <item x="0"/>
        <item t="default"/>
      </items>
    </pivotField>
    <pivotField showAll="0"/>
    <pivotField showAll="0"/>
    <pivotField dataField="1" showAll="0"/>
    <pivotField showAll="0"/>
    <pivotField showAll="0"/>
  </pivotFields>
  <rowFields count="1">
    <field x="1"/>
  </rowFields>
  <rowItems count="6">
    <i>
      <x v="11"/>
    </i>
    <i>
      <x v="43"/>
    </i>
    <i>
      <x v="19"/>
    </i>
    <i>
      <x v="92"/>
    </i>
    <i>
      <x v="67"/>
    </i>
    <i t="grand">
      <x/>
    </i>
  </rowItems>
  <colItems count="1">
    <i/>
  </colItems>
  <dataFields count="1">
    <dataField name="Total Acreage (Hectare)" fld="5" baseField="1" baseItem="0"/>
  </dataFields>
  <chartFormats count="3">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0B662D-E309-451E-92FC-E9CD2F24468B}"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6:A37" firstHeaderRow="1" firstDataRow="1" firstDataCol="0"/>
  <pivotFields count="8">
    <pivotField showAll="0"/>
    <pivotField dataField="1" showAll="0"/>
    <pivotField showAll="0">
      <items count="7">
        <item x="4"/>
        <item x="1"/>
        <item x="3"/>
        <item x="5"/>
        <item x="2"/>
        <item x="0"/>
        <item t="default"/>
      </items>
    </pivotField>
    <pivotField showAll="0"/>
    <pivotField showAll="0"/>
    <pivotField showAll="0"/>
    <pivotField showAll="0"/>
    <pivotField showAll="0"/>
  </pivotFields>
  <rowItems count="1">
    <i/>
  </rowItems>
  <colItems count="1">
    <i/>
  </colItems>
  <dataFields count="1">
    <dataField name="Total Countri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CCBEE6F-B3D6-4AED-8AB0-FBDABF4CC30A}" autoFormatId="16" applyNumberFormats="0" applyBorderFormats="0" applyFontFormats="0" applyPatternFormats="0" applyAlignmentFormats="0" applyWidthHeightFormats="0">
  <queryTableRefresh nextId="9" unboundColumnsRight="1">
    <queryTableFields count="8">
      <queryTableField id="1" name="Serial No." tableColumnId="1"/>
      <queryTableField id="2" name="Country" tableColumnId="2"/>
      <queryTableField id="3" name="Continent" tableColumnId="3"/>
      <queryTableField id="4" name="Production (Tons)" tableColumnId="4"/>
      <queryTableField id="5" name="Production per Person (Kg)" tableColumnId="5"/>
      <queryTableField id="6" name="Acreage (Hectare)" tableColumnId="6"/>
      <queryTableField id="7" name="Yield (Kg / Hectare)"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D7A40591-6FCF-4CF0-9313-1EA4C8001724}" sourceName="Continent">
  <pivotTables>
    <pivotTable tabId="2" name="PivotTable6"/>
    <pivotTable tabId="2" name="PivotTable2"/>
    <pivotTable tabId="2" name="PivotTable4"/>
    <pivotTable tabId="2" name="PivotTable7"/>
    <pivotTable tabId="2" name="PivotTable11"/>
  </pivotTables>
  <data>
    <tabular pivotCacheId="1675767799">
      <items count="6">
        <i x="4" s="1"/>
        <i x="1" s="1"/>
        <i x="3" s="1"/>
        <i x="5"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1" xr10:uid="{DD69E63C-A126-4313-9BE5-D4C760FC9110}" cache="Slicer_Continent" caption="Continent" showCaption="0" style="SlicerStyleDark2 2"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A98F8D-D474-4DCC-B068-D169DCBB2E69}" name="List_of_Countries_by_Sugarcane_Production" displayName="List_of_Countries_by_Sugarcane_Production" ref="A1:H104" tableType="queryTable" totalsRowShown="0">
  <autoFilter ref="A1:H104" xr:uid="{53A98F8D-D474-4DCC-B068-D169DCBB2E69}"/>
  <tableColumns count="8">
    <tableColumn id="1" xr3:uid="{6D088ACC-33F8-4E00-ADFB-754234228551}" uniqueName="1" name="Serial No." queryTableFieldId="1"/>
    <tableColumn id="2" xr3:uid="{4E85A792-9575-43D2-8778-289FA7782505}" uniqueName="2" name="Country" queryTableFieldId="2" dataDxfId="4"/>
    <tableColumn id="3" xr3:uid="{AB264980-6377-406E-BD6C-CB4A09ACB32D}" uniqueName="3" name="Continent" queryTableFieldId="3" dataDxfId="3"/>
    <tableColumn id="4" xr3:uid="{9A88CAF4-033B-4593-8616-C54D505ED359}" uniqueName="4" name="Production (Tons)" queryTableFieldId="4"/>
    <tableColumn id="5" xr3:uid="{A776E0A1-D39B-44BB-AD52-78BCDFD1FAA1}" uniqueName="5" name="Production per Person (Kg)" queryTableFieldId="5"/>
    <tableColumn id="6" xr3:uid="{60C889BF-E6EF-4554-BA3E-BBA55AB33EB1}" uniqueName="6" name="Acreage (Hectare)" queryTableFieldId="6"/>
    <tableColumn id="7" xr3:uid="{E63ACC6A-0009-4767-8AED-78933BBD1F5C}" uniqueName="7" name="Yield (Kg / Hectare)" queryTableFieldId="7"/>
    <tableColumn id="8" xr3:uid="{960F0E65-8891-499C-9516-F3559B2BFD6D}" uniqueName="8" name="Filter" queryTableFieldId="8" dataDxfId="2">
      <calculatedColumnFormula>IF(ISNUMBER(MATCH(List_of_Countries_by_Sugarcane_Production[[#This Row],[Continent]],Analysis!$G$2:$G$7,0)),"Yes","No")</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46EE9-B69A-4542-8CD8-D4179913B1E7}">
  <dimension ref="A1:H104"/>
  <sheetViews>
    <sheetView workbookViewId="0">
      <selection activeCell="H1" sqref="H1:H1048576"/>
    </sheetView>
  </sheetViews>
  <sheetFormatPr defaultRowHeight="15" x14ac:dyDescent="0.25"/>
  <cols>
    <col min="1" max="1" width="12" bestFit="1" customWidth="1"/>
    <col min="2" max="2" width="30.7109375" bestFit="1" customWidth="1"/>
    <col min="3" max="3" width="13.85546875" bestFit="1" customWidth="1"/>
    <col min="4" max="4" width="19.5703125" bestFit="1" customWidth="1"/>
    <col min="5" max="5" width="27.85546875" bestFit="1" customWidth="1"/>
    <col min="6" max="6" width="19.7109375" bestFit="1" customWidth="1"/>
    <col min="7" max="7" width="20.85546875" bestFit="1" customWidth="1"/>
    <col min="8" max="8" width="8" hidden="1" customWidth="1"/>
  </cols>
  <sheetData>
    <row r="1" spans="1:8" x14ac:dyDescent="0.25">
      <c r="A1" t="s">
        <v>0</v>
      </c>
      <c r="B1" t="s">
        <v>1</v>
      </c>
      <c r="C1" t="s">
        <v>2</v>
      </c>
      <c r="D1" t="s">
        <v>3</v>
      </c>
      <c r="E1" t="s">
        <v>4</v>
      </c>
      <c r="F1" t="s">
        <v>5</v>
      </c>
      <c r="G1" t="s">
        <v>6</v>
      </c>
      <c r="H1" t="s">
        <v>122</v>
      </c>
    </row>
    <row r="2" spans="1:8" x14ac:dyDescent="0.25">
      <c r="A2">
        <v>1</v>
      </c>
      <c r="B2" t="s">
        <v>7</v>
      </c>
      <c r="C2" t="s">
        <v>8</v>
      </c>
      <c r="D2">
        <v>768678382</v>
      </c>
      <c r="E2">
        <v>3669</v>
      </c>
      <c r="F2">
        <v>10226205</v>
      </c>
      <c r="G2">
        <v>75168</v>
      </c>
      <c r="H2" t="str">
        <f>IF(ISNUMBER(MATCH(List_of_Countries_by_Sugarcane_Production[[#This Row],[Continent]],Analysis!$G$2:$G$7,0)),"Yes","No")</f>
        <v>Yes</v>
      </c>
    </row>
    <row r="3" spans="1:8" x14ac:dyDescent="0.25">
      <c r="A3">
        <v>2</v>
      </c>
      <c r="B3" t="s">
        <v>9</v>
      </c>
      <c r="C3" t="s">
        <v>10</v>
      </c>
      <c r="D3">
        <v>348448000</v>
      </c>
      <c r="E3">
        <v>260721</v>
      </c>
      <c r="F3">
        <v>4950000</v>
      </c>
      <c r="G3">
        <v>70394</v>
      </c>
      <c r="H3" t="str">
        <f>IF(ISNUMBER(MATCH(List_of_Countries_by_Sugarcane_Production[[#This Row],[Continent]],Analysis!$G$2:$G$7,0)),"Yes","No")</f>
        <v>Yes</v>
      </c>
    </row>
    <row r="4" spans="1:8" x14ac:dyDescent="0.25">
      <c r="A4">
        <v>3</v>
      </c>
      <c r="B4" t="s">
        <v>11</v>
      </c>
      <c r="C4" t="s">
        <v>10</v>
      </c>
      <c r="D4">
        <v>123059739</v>
      </c>
      <c r="E4">
        <v>88287</v>
      </c>
      <c r="F4">
        <v>1675215</v>
      </c>
      <c r="G4">
        <v>73459</v>
      </c>
      <c r="H4" t="str">
        <f>IF(ISNUMBER(MATCH(List_of_Countries_by_Sugarcane_Production[[#This Row],[Continent]],Analysis!$G$2:$G$7,0)),"Yes","No")</f>
        <v>Yes</v>
      </c>
    </row>
    <row r="5" spans="1:8" x14ac:dyDescent="0.25">
      <c r="A5">
        <v>4</v>
      </c>
      <c r="B5" t="s">
        <v>12</v>
      </c>
      <c r="C5" t="s">
        <v>10</v>
      </c>
      <c r="D5">
        <v>87468496</v>
      </c>
      <c r="E5">
        <v>1264</v>
      </c>
      <c r="F5">
        <v>1336575</v>
      </c>
      <c r="G5">
        <v>65442</v>
      </c>
      <c r="H5" t="str">
        <f>IF(ISNUMBER(MATCH(List_of_Countries_by_Sugarcane_Production[[#This Row],[Continent]],Analysis!$G$2:$G$7,0)),"Yes","No")</f>
        <v>Yes</v>
      </c>
    </row>
    <row r="6" spans="1:8" x14ac:dyDescent="0.25">
      <c r="A6">
        <v>5</v>
      </c>
      <c r="B6" t="s">
        <v>13</v>
      </c>
      <c r="C6" t="s">
        <v>10</v>
      </c>
      <c r="D6">
        <v>65450704</v>
      </c>
      <c r="E6">
        <v>324219</v>
      </c>
      <c r="F6">
        <v>1130820</v>
      </c>
      <c r="G6">
        <v>57879</v>
      </c>
      <c r="H6" t="str">
        <f>IF(ISNUMBER(MATCH(List_of_Countries_by_Sugarcane_Production[[#This Row],[Continent]],Analysis!$G$2:$G$7,0)),"Yes","No")</f>
        <v>Yes</v>
      </c>
    </row>
    <row r="7" spans="1:8" x14ac:dyDescent="0.25">
      <c r="A7">
        <v>6</v>
      </c>
      <c r="B7" t="s">
        <v>14</v>
      </c>
      <c r="C7" t="s">
        <v>15</v>
      </c>
      <c r="D7">
        <v>56446821</v>
      </c>
      <c r="E7">
        <v>452524</v>
      </c>
      <c r="F7">
        <v>781054</v>
      </c>
      <c r="G7">
        <v>7227</v>
      </c>
      <c r="H7" t="str">
        <f>IF(ISNUMBER(MATCH(List_of_Countries_by_Sugarcane_Production[[#This Row],[Continent]],Analysis!$G$2:$G$7,0)),"Yes","No")</f>
        <v>Yes</v>
      </c>
    </row>
    <row r="8" spans="1:8" x14ac:dyDescent="0.25">
      <c r="A8">
        <v>7</v>
      </c>
      <c r="B8" t="s">
        <v>16</v>
      </c>
      <c r="C8" t="s">
        <v>8</v>
      </c>
      <c r="D8">
        <v>36951213</v>
      </c>
      <c r="E8">
        <v>740075</v>
      </c>
      <c r="F8">
        <v>416626</v>
      </c>
      <c r="G8">
        <v>88692</v>
      </c>
      <c r="H8" t="str">
        <f>IF(ISNUMBER(MATCH(List_of_Countries_by_Sugarcane_Production[[#This Row],[Continent]],Analysis!$G$2:$G$7,0)),"Yes","No")</f>
        <v>Yes</v>
      </c>
    </row>
    <row r="9" spans="1:8" x14ac:dyDescent="0.25">
      <c r="A9">
        <v>8</v>
      </c>
      <c r="B9" t="s">
        <v>17</v>
      </c>
      <c r="C9" t="s">
        <v>17</v>
      </c>
      <c r="D9">
        <v>34403004</v>
      </c>
      <c r="E9">
        <v>1373</v>
      </c>
      <c r="F9">
        <v>447204</v>
      </c>
      <c r="G9">
        <v>76929</v>
      </c>
      <c r="H9" t="str">
        <f>IF(ISNUMBER(MATCH(List_of_Countries_by_Sugarcane_Production[[#This Row],[Continent]],Analysis!$G$2:$G$7,0)),"Yes","No")</f>
        <v>Yes</v>
      </c>
    </row>
    <row r="10" spans="1:8" x14ac:dyDescent="0.25">
      <c r="A10">
        <v>9</v>
      </c>
      <c r="B10" t="s">
        <v>18</v>
      </c>
      <c r="C10" t="s">
        <v>15</v>
      </c>
      <c r="D10">
        <v>33533403</v>
      </c>
      <c r="E10">
        <v>1938</v>
      </c>
      <c r="F10">
        <v>25985</v>
      </c>
      <c r="G10">
        <v>129049</v>
      </c>
      <c r="H10" t="str">
        <f>IF(ISNUMBER(MATCH(List_of_Countries_by_Sugarcane_Production[[#This Row],[Continent]],Analysis!$G$2:$G$7,0)),"Yes","No")</f>
        <v>Yes</v>
      </c>
    </row>
    <row r="11" spans="1:8" x14ac:dyDescent="0.25">
      <c r="A11">
        <v>10</v>
      </c>
      <c r="B11" t="s">
        <v>19</v>
      </c>
      <c r="C11" t="s">
        <v>15</v>
      </c>
      <c r="D11">
        <v>29926210</v>
      </c>
      <c r="E11">
        <v>91304</v>
      </c>
      <c r="F11">
        <v>37053</v>
      </c>
      <c r="G11">
        <v>80766</v>
      </c>
      <c r="H11" t="str">
        <f>IF(ISNUMBER(MATCH(List_of_Countries_by_Sugarcane_Production[[#This Row],[Continent]],Analysis!$G$2:$G$7,0)),"Yes","No")</f>
        <v>Yes</v>
      </c>
    </row>
    <row r="12" spans="1:8" x14ac:dyDescent="0.25">
      <c r="A12">
        <v>11</v>
      </c>
      <c r="B12" t="s">
        <v>20</v>
      </c>
      <c r="C12" t="s">
        <v>10</v>
      </c>
      <c r="D12">
        <v>27158830</v>
      </c>
      <c r="E12">
        <v>10248</v>
      </c>
      <c r="F12">
        <v>472693</v>
      </c>
      <c r="G12">
        <v>57456</v>
      </c>
      <c r="H12" t="str">
        <f>IF(ISNUMBER(MATCH(List_of_Countries_by_Sugarcane_Production[[#This Row],[Continent]],Analysis!$G$2:$G$7,0)),"Yes","No")</f>
        <v>Yes</v>
      </c>
    </row>
    <row r="13" spans="1:8" x14ac:dyDescent="0.25">
      <c r="A13">
        <v>12</v>
      </c>
      <c r="B13" t="s">
        <v>21</v>
      </c>
      <c r="C13" t="s">
        <v>10</v>
      </c>
      <c r="D13">
        <v>22370546</v>
      </c>
      <c r="E13">
        <v>210232</v>
      </c>
      <c r="F13">
        <v>410104</v>
      </c>
      <c r="G13">
        <v>54548</v>
      </c>
      <c r="H13" t="str">
        <f>IF(ISNUMBER(MATCH(List_of_Countries_by_Sugarcane_Production[[#This Row],[Continent]],Analysis!$G$2:$G$7,0)),"Yes","No")</f>
        <v>Yes</v>
      </c>
    </row>
    <row r="14" spans="1:8" x14ac:dyDescent="0.25">
      <c r="A14">
        <v>13</v>
      </c>
      <c r="B14" t="s">
        <v>22</v>
      </c>
      <c r="C14" t="s">
        <v>8</v>
      </c>
      <c r="D14">
        <v>21990823</v>
      </c>
      <c r="E14">
        <v>494237</v>
      </c>
      <c r="F14">
        <v>331699</v>
      </c>
      <c r="G14">
        <v>66298</v>
      </c>
      <c r="H14" t="str">
        <f>IF(ISNUMBER(MATCH(List_of_Countries_by_Sugarcane_Production[[#This Row],[Continent]],Analysis!$G$2:$G$7,0)),"Yes","No")</f>
        <v>Yes</v>
      </c>
    </row>
    <row r="15" spans="1:8" x14ac:dyDescent="0.25">
      <c r="A15">
        <v>14</v>
      </c>
      <c r="B15" t="s">
        <v>23</v>
      </c>
      <c r="C15" t="s">
        <v>15</v>
      </c>
      <c r="D15">
        <v>18890972</v>
      </c>
      <c r="E15">
        <v>1684</v>
      </c>
      <c r="F15">
        <v>442307</v>
      </c>
      <c r="G15">
        <v>42710</v>
      </c>
      <c r="H15" t="str">
        <f>IF(ISNUMBER(MATCH(List_of_Countries_by_Sugarcane_Production[[#This Row],[Continent]],Analysis!$G$2:$G$7,0)),"Yes","No")</f>
        <v>Yes</v>
      </c>
    </row>
    <row r="16" spans="1:8" x14ac:dyDescent="0.25">
      <c r="A16">
        <v>15</v>
      </c>
      <c r="B16" t="s">
        <v>24</v>
      </c>
      <c r="C16" t="s">
        <v>10</v>
      </c>
      <c r="D16">
        <v>16313145</v>
      </c>
      <c r="E16">
        <v>172334</v>
      </c>
      <c r="F16">
        <v>256322</v>
      </c>
      <c r="G16">
        <v>63643</v>
      </c>
      <c r="H16" t="str">
        <f>IF(ISNUMBER(MATCH(List_of_Countries_by_Sugarcane_Production[[#This Row],[Continent]],Analysis!$G$2:$G$7,0)),"Yes","No")</f>
        <v>Yes</v>
      </c>
    </row>
    <row r="17" spans="1:8" x14ac:dyDescent="0.25">
      <c r="A17">
        <v>16</v>
      </c>
      <c r="B17" t="s">
        <v>25</v>
      </c>
      <c r="C17" t="s">
        <v>26</v>
      </c>
      <c r="D17">
        <v>15760418</v>
      </c>
      <c r="E17">
        <v>161651</v>
      </c>
      <c r="F17">
        <v>137011</v>
      </c>
      <c r="G17">
        <v>115031</v>
      </c>
      <c r="H17" t="str">
        <f>IF(ISNUMBER(MATCH(List_of_Countries_by_Sugarcane_Production[[#This Row],[Continent]],Analysis!$G$2:$G$7,0)),"Yes","No")</f>
        <v>Yes</v>
      </c>
    </row>
    <row r="18" spans="1:8" x14ac:dyDescent="0.25">
      <c r="A18">
        <v>17</v>
      </c>
      <c r="B18" t="s">
        <v>27</v>
      </c>
      <c r="C18" t="s">
        <v>26</v>
      </c>
      <c r="D18">
        <v>15074610</v>
      </c>
      <c r="E18">
        <v>261143</v>
      </c>
      <c r="F18">
        <v>246937</v>
      </c>
      <c r="G18">
        <v>61046</v>
      </c>
      <c r="H18" t="str">
        <f>IF(ISNUMBER(MATCH(List_of_Countries_by_Sugarcane_Production[[#This Row],[Continent]],Analysis!$G$2:$G$7,0)),"Yes","No")</f>
        <v>Yes</v>
      </c>
    </row>
    <row r="19" spans="1:8" x14ac:dyDescent="0.25">
      <c r="A19">
        <v>18</v>
      </c>
      <c r="B19" t="s">
        <v>28</v>
      </c>
      <c r="C19" t="s">
        <v>10</v>
      </c>
      <c r="D19">
        <v>10437058</v>
      </c>
      <c r="E19">
        <v>193771</v>
      </c>
      <c r="F19">
        <v>16365</v>
      </c>
      <c r="G19">
        <v>63777</v>
      </c>
      <c r="H19" t="str">
        <f>IF(ISNUMBER(MATCH(List_of_Countries_by_Sugarcane_Production[[#This Row],[Continent]],Analysis!$G$2:$G$7,0)),"Yes","No")</f>
        <v>Yes</v>
      </c>
    </row>
    <row r="20" spans="1:8" x14ac:dyDescent="0.25">
      <c r="A20">
        <v>19</v>
      </c>
      <c r="B20" t="s">
        <v>29</v>
      </c>
      <c r="C20" t="s">
        <v>8</v>
      </c>
      <c r="D20">
        <v>9832526</v>
      </c>
      <c r="E20">
        <v>314768</v>
      </c>
      <c r="F20">
        <v>87696</v>
      </c>
      <c r="G20">
        <v>112120</v>
      </c>
      <c r="H20" t="str">
        <f>IF(ISNUMBER(MATCH(List_of_Countries_by_Sugarcane_Production[[#This Row],[Continent]],Analysis!$G$2:$G$7,0)),"Yes","No")</f>
        <v>Yes</v>
      </c>
    </row>
    <row r="21" spans="1:8" x14ac:dyDescent="0.25">
      <c r="A21">
        <v>20</v>
      </c>
      <c r="B21" t="s">
        <v>30</v>
      </c>
      <c r="C21" t="s">
        <v>8</v>
      </c>
      <c r="D21">
        <v>8661609</v>
      </c>
      <c r="E21">
        <v>507518</v>
      </c>
      <c r="F21">
        <v>104661</v>
      </c>
      <c r="G21">
        <v>82758</v>
      </c>
      <c r="H21" t="str">
        <f>IF(ISNUMBER(MATCH(List_of_Countries_by_Sugarcane_Production[[#This Row],[Continent]],Analysis!$G$2:$G$7,0)),"Yes","No")</f>
        <v>Yes</v>
      </c>
    </row>
    <row r="22" spans="1:8" x14ac:dyDescent="0.25">
      <c r="A22">
        <v>21</v>
      </c>
      <c r="B22" t="s">
        <v>31</v>
      </c>
      <c r="C22" t="s">
        <v>10</v>
      </c>
      <c r="D22">
        <v>7687593</v>
      </c>
      <c r="E22">
        <v>9403</v>
      </c>
      <c r="F22">
        <v>95785</v>
      </c>
      <c r="G22">
        <v>80259</v>
      </c>
      <c r="H22" t="str">
        <f>IF(ISNUMBER(MATCH(List_of_Countries_by_Sugarcane_Production[[#This Row],[Continent]],Analysis!$G$2:$G$7,0)),"Yes","No")</f>
        <v>Yes</v>
      </c>
    </row>
    <row r="23" spans="1:8" x14ac:dyDescent="0.25">
      <c r="A23">
        <v>22</v>
      </c>
      <c r="B23" t="s">
        <v>32</v>
      </c>
      <c r="C23" t="s">
        <v>15</v>
      </c>
      <c r="D23">
        <v>7202141</v>
      </c>
      <c r="E23">
        <v>1084</v>
      </c>
      <c r="F23">
        <v>79103</v>
      </c>
      <c r="G23">
        <v>91048</v>
      </c>
      <c r="H23" t="str">
        <f>IF(ISNUMBER(MATCH(List_of_Countries_by_Sugarcane_Production[[#This Row],[Continent]],Analysis!$G$2:$G$7,0)),"Yes","No")</f>
        <v>Yes</v>
      </c>
    </row>
    <row r="24" spans="1:8" x14ac:dyDescent="0.25">
      <c r="A24">
        <v>23</v>
      </c>
      <c r="B24" t="s">
        <v>33</v>
      </c>
      <c r="C24" t="s">
        <v>26</v>
      </c>
      <c r="D24">
        <v>7094619</v>
      </c>
      <c r="E24">
        <v>139244</v>
      </c>
      <c r="F24">
        <v>86876</v>
      </c>
      <c r="G24">
        <v>81664</v>
      </c>
      <c r="H24" t="str">
        <f>IF(ISNUMBER(MATCH(List_of_Countries_by_Sugarcane_Production[[#This Row],[Continent]],Analysis!$G$2:$G$7,0)),"Yes","No")</f>
        <v>Yes</v>
      </c>
    </row>
    <row r="25" spans="1:8" x14ac:dyDescent="0.25">
      <c r="A25">
        <v>24</v>
      </c>
      <c r="B25" t="s">
        <v>34</v>
      </c>
      <c r="C25" t="s">
        <v>8</v>
      </c>
      <c r="D25">
        <v>6910805</v>
      </c>
      <c r="E25">
        <v>61118</v>
      </c>
      <c r="F25">
        <v>152306</v>
      </c>
      <c r="G25">
        <v>45374</v>
      </c>
      <c r="H25" t="str">
        <f>IF(ISNUMBER(MATCH(List_of_Countries_by_Sugarcane_Production[[#This Row],[Continent]],Analysis!$G$2:$G$7,0)),"Yes","No")</f>
        <v>Yes</v>
      </c>
    </row>
    <row r="26" spans="1:8" x14ac:dyDescent="0.25">
      <c r="A26">
        <v>25</v>
      </c>
      <c r="B26" t="s">
        <v>35</v>
      </c>
      <c r="C26" t="s">
        <v>15</v>
      </c>
      <c r="D26">
        <v>6815147</v>
      </c>
      <c r="E26">
        <v>1084</v>
      </c>
      <c r="F26">
        <v>7413</v>
      </c>
      <c r="G26">
        <v>91935</v>
      </c>
      <c r="H26" t="str">
        <f>IF(ISNUMBER(MATCH(List_of_Countries_by_Sugarcane_Production[[#This Row],[Continent]],Analysis!$G$2:$G$7,0)),"Yes","No")</f>
        <v>Yes</v>
      </c>
    </row>
    <row r="27" spans="1:8" x14ac:dyDescent="0.25">
      <c r="A27">
        <v>26</v>
      </c>
      <c r="B27" t="s">
        <v>36</v>
      </c>
      <c r="C27" t="s">
        <v>8</v>
      </c>
      <c r="D27">
        <v>6708000</v>
      </c>
      <c r="E27">
        <v>951087</v>
      </c>
      <c r="F27">
        <v>120</v>
      </c>
      <c r="G27">
        <v>559</v>
      </c>
      <c r="H27" t="str">
        <f>IF(ISNUMBER(MATCH(List_of_Countries_by_Sugarcane_Production[[#This Row],[Continent]],Analysis!$G$2:$G$7,0)),"Yes","No")</f>
        <v>Yes</v>
      </c>
    </row>
    <row r="28" spans="1:8" x14ac:dyDescent="0.25">
      <c r="A28">
        <v>27</v>
      </c>
      <c r="B28" t="s">
        <v>37</v>
      </c>
      <c r="C28" t="s">
        <v>26</v>
      </c>
      <c r="D28">
        <v>5583295</v>
      </c>
      <c r="E28">
        <v>4816</v>
      </c>
      <c r="F28">
        <v>57851</v>
      </c>
      <c r="G28">
        <v>96511</v>
      </c>
      <c r="H28" t="str">
        <f>IF(ISNUMBER(MATCH(List_of_Countries_by_Sugarcane_Production[[#This Row],[Continent]],Analysis!$G$2:$G$7,0)),"Yes","No")</f>
        <v>Yes</v>
      </c>
    </row>
    <row r="29" spans="1:8" x14ac:dyDescent="0.25">
      <c r="A29">
        <v>28</v>
      </c>
      <c r="B29" t="s">
        <v>38</v>
      </c>
      <c r="C29" t="s">
        <v>26</v>
      </c>
      <c r="D29">
        <v>5525059</v>
      </c>
      <c r="E29">
        <v>135428</v>
      </c>
      <c r="F29">
        <v>69564</v>
      </c>
      <c r="G29">
        <v>79424</v>
      </c>
      <c r="H29" t="str">
        <f>IF(ISNUMBER(MATCH(List_of_Countries_by_Sugarcane_Production[[#This Row],[Continent]],Analysis!$G$2:$G$7,0)),"Yes","No")</f>
        <v>Yes</v>
      </c>
    </row>
    <row r="30" spans="1:8" x14ac:dyDescent="0.25">
      <c r="A30">
        <v>29</v>
      </c>
      <c r="B30" t="s">
        <v>39</v>
      </c>
      <c r="C30" t="s">
        <v>15</v>
      </c>
      <c r="D30">
        <v>5355700</v>
      </c>
      <c r="E30">
        <v>59427</v>
      </c>
      <c r="F30">
        <v>64666</v>
      </c>
      <c r="G30">
        <v>82821</v>
      </c>
      <c r="H30" t="str">
        <f>IF(ISNUMBER(MATCH(List_of_Countries_by_Sugarcane_Production[[#This Row],[Continent]],Analysis!$G$2:$G$7,0)),"Yes","No")</f>
        <v>Yes</v>
      </c>
    </row>
    <row r="31" spans="1:8" x14ac:dyDescent="0.25">
      <c r="A31">
        <v>30</v>
      </c>
      <c r="B31" t="s">
        <v>40</v>
      </c>
      <c r="C31" t="s">
        <v>15</v>
      </c>
      <c r="D31">
        <v>4717490</v>
      </c>
      <c r="E31">
        <v>459519</v>
      </c>
      <c r="F31">
        <v>10681</v>
      </c>
      <c r="G31">
        <v>44167</v>
      </c>
      <c r="H31" t="str">
        <f>IF(ISNUMBER(MATCH(List_of_Countries_by_Sugarcane_Production[[#This Row],[Continent]],Analysis!$G$2:$G$7,0)),"Yes","No")</f>
        <v>Yes</v>
      </c>
    </row>
    <row r="32" spans="1:8" x14ac:dyDescent="0.25">
      <c r="A32">
        <v>31</v>
      </c>
      <c r="B32" t="s">
        <v>41</v>
      </c>
      <c r="C32" t="s">
        <v>10</v>
      </c>
      <c r="D32">
        <v>4346754</v>
      </c>
      <c r="E32">
        <v>148765</v>
      </c>
      <c r="F32">
        <v>80931</v>
      </c>
      <c r="G32">
        <v>53709</v>
      </c>
      <c r="H32" t="str">
        <f>IF(ISNUMBER(MATCH(List_of_Countries_by_Sugarcane_Production[[#This Row],[Continent]],Analysis!$G$2:$G$7,0)),"Yes","No")</f>
        <v>Yes</v>
      </c>
    </row>
    <row r="33" spans="1:8" x14ac:dyDescent="0.25">
      <c r="A33">
        <v>32</v>
      </c>
      <c r="B33" t="s">
        <v>42</v>
      </c>
      <c r="C33" t="s">
        <v>26</v>
      </c>
      <c r="D33">
        <v>4285839</v>
      </c>
      <c r="E33">
        <v>253784</v>
      </c>
      <c r="F33">
        <v>41695</v>
      </c>
      <c r="G33">
        <v>102790</v>
      </c>
      <c r="H33" t="str">
        <f>IF(ISNUMBER(MATCH(List_of_Countries_by_Sugarcane_Production[[#This Row],[Continent]],Analysis!$G$2:$G$7,0)),"Yes","No")</f>
        <v>Yes</v>
      </c>
    </row>
    <row r="34" spans="1:8" x14ac:dyDescent="0.25">
      <c r="A34">
        <v>33</v>
      </c>
      <c r="B34" t="s">
        <v>43</v>
      </c>
      <c r="C34" t="s">
        <v>10</v>
      </c>
      <c r="D34">
        <v>4207592</v>
      </c>
      <c r="E34">
        <v>25481</v>
      </c>
      <c r="F34">
        <v>98357</v>
      </c>
      <c r="G34">
        <v>42779</v>
      </c>
      <c r="H34" t="str">
        <f>IF(ISNUMBER(MATCH(List_of_Countries_by_Sugarcane_Production[[#This Row],[Continent]],Analysis!$G$2:$G$7,0)),"Yes","No")</f>
        <v>Yes</v>
      </c>
    </row>
    <row r="35" spans="1:8" x14ac:dyDescent="0.25">
      <c r="A35">
        <v>34</v>
      </c>
      <c r="B35" t="s">
        <v>44</v>
      </c>
      <c r="C35" t="s">
        <v>15</v>
      </c>
      <c r="D35">
        <v>4158370</v>
      </c>
      <c r="E35">
        <v>83111</v>
      </c>
      <c r="F35">
        <v>6903</v>
      </c>
      <c r="G35">
        <v>6024</v>
      </c>
      <c r="H35" t="str">
        <f>IF(ISNUMBER(MATCH(List_of_Countries_by_Sugarcane_Production[[#This Row],[Continent]],Analysis!$G$2:$G$7,0)),"Yes","No")</f>
        <v>Yes</v>
      </c>
    </row>
    <row r="36" spans="1:8" x14ac:dyDescent="0.25">
      <c r="A36">
        <v>35</v>
      </c>
      <c r="B36" t="s">
        <v>45</v>
      </c>
      <c r="C36" t="s">
        <v>26</v>
      </c>
      <c r="D36">
        <v>3798448</v>
      </c>
      <c r="E36">
        <v>3003</v>
      </c>
      <c r="F36">
        <v>51477</v>
      </c>
      <c r="G36">
        <v>73789</v>
      </c>
      <c r="H36" t="str">
        <f>IF(ISNUMBER(MATCH(List_of_Countries_by_Sugarcane_Production[[#This Row],[Continent]],Analysis!$G$2:$G$7,0)),"Yes","No")</f>
        <v>Yes</v>
      </c>
    </row>
    <row r="37" spans="1:8" x14ac:dyDescent="0.25">
      <c r="A37">
        <v>36</v>
      </c>
      <c r="B37" t="s">
        <v>46</v>
      </c>
      <c r="C37" t="s">
        <v>26</v>
      </c>
      <c r="D37">
        <v>3723019</v>
      </c>
      <c r="E37">
        <v>95897</v>
      </c>
      <c r="F37">
        <v>54911</v>
      </c>
      <c r="G37">
        <v>67801</v>
      </c>
      <c r="H37" t="str">
        <f>IF(ISNUMBER(MATCH(List_of_Countries_by_Sugarcane_Production[[#This Row],[Continent]],Analysis!$G$2:$G$7,0)),"Yes","No")</f>
        <v>Yes</v>
      </c>
    </row>
    <row r="38" spans="1:8" x14ac:dyDescent="0.25">
      <c r="A38">
        <v>37</v>
      </c>
      <c r="B38" t="s">
        <v>47</v>
      </c>
      <c r="C38" t="s">
        <v>26</v>
      </c>
      <c r="D38">
        <v>3483000</v>
      </c>
      <c r="E38">
        <v>234563</v>
      </c>
      <c r="F38">
        <v>435</v>
      </c>
      <c r="G38">
        <v>80069</v>
      </c>
      <c r="H38" t="str">
        <f>IF(ISNUMBER(MATCH(List_of_Countries_by_Sugarcane_Production[[#This Row],[Continent]],Analysis!$G$2:$G$7,0)),"Yes","No")</f>
        <v>Yes</v>
      </c>
    </row>
    <row r="39" spans="1:8" x14ac:dyDescent="0.25">
      <c r="A39">
        <v>38</v>
      </c>
      <c r="B39" t="s">
        <v>48</v>
      </c>
      <c r="C39" t="s">
        <v>8</v>
      </c>
      <c r="D39">
        <v>3331252</v>
      </c>
      <c r="E39">
        <v>104664</v>
      </c>
      <c r="F39">
        <v>5223</v>
      </c>
      <c r="G39">
        <v>63780</v>
      </c>
      <c r="H39" t="str">
        <f>IF(ISNUMBER(MATCH(List_of_Countries_by_Sugarcane_Production[[#This Row],[Continent]],Analysis!$G$2:$G$7,0)),"Yes","No")</f>
        <v>Yes</v>
      </c>
    </row>
    <row r="40" spans="1:8" x14ac:dyDescent="0.25">
      <c r="A40">
        <v>39</v>
      </c>
      <c r="B40" t="s">
        <v>49</v>
      </c>
      <c r="C40" t="s">
        <v>26</v>
      </c>
      <c r="D40">
        <v>3005641</v>
      </c>
      <c r="E40">
        <v>114445</v>
      </c>
      <c r="F40">
        <v>94157</v>
      </c>
      <c r="G40">
        <v>31922</v>
      </c>
      <c r="H40" t="str">
        <f>IF(ISNUMBER(MATCH(List_of_Countries_by_Sugarcane_Production[[#This Row],[Continent]],Analysis!$G$2:$G$7,0)),"Yes","No")</f>
        <v>Yes</v>
      </c>
    </row>
    <row r="41" spans="1:8" x14ac:dyDescent="0.25">
      <c r="A41">
        <v>40</v>
      </c>
      <c r="B41" t="s">
        <v>50</v>
      </c>
      <c r="C41" t="s">
        <v>26</v>
      </c>
      <c r="D41">
        <v>2994127</v>
      </c>
      <c r="E41">
        <v>55243</v>
      </c>
      <c r="F41">
        <v>108487</v>
      </c>
      <c r="G41">
        <v>27599</v>
      </c>
      <c r="H41" t="str">
        <f>IF(ISNUMBER(MATCH(List_of_Countries_by_Sugarcane_Production[[#This Row],[Continent]],Analysis!$G$2:$G$7,0)),"Yes","No")</f>
        <v>Yes</v>
      </c>
    </row>
    <row r="42" spans="1:8" x14ac:dyDescent="0.25">
      <c r="A42">
        <v>41</v>
      </c>
      <c r="B42" t="s">
        <v>51</v>
      </c>
      <c r="C42" t="s">
        <v>26</v>
      </c>
      <c r="D42">
        <v>2915406</v>
      </c>
      <c r="E42">
        <v>162584</v>
      </c>
      <c r="F42">
        <v>27087</v>
      </c>
      <c r="G42">
        <v>107630</v>
      </c>
      <c r="H42" t="str">
        <f>IF(ISNUMBER(MATCH(List_of_Countries_by_Sugarcane_Production[[#This Row],[Continent]],Analysis!$G$2:$G$7,0)),"Yes","No")</f>
        <v>Yes</v>
      </c>
    </row>
    <row r="43" spans="1:8" x14ac:dyDescent="0.25">
      <c r="A43">
        <v>42</v>
      </c>
      <c r="B43" t="s">
        <v>52</v>
      </c>
      <c r="C43" t="s">
        <v>26</v>
      </c>
      <c r="D43">
        <v>2761505</v>
      </c>
      <c r="E43">
        <v>9568</v>
      </c>
      <c r="F43">
        <v>42311</v>
      </c>
      <c r="G43">
        <v>65267</v>
      </c>
      <c r="H43" t="str">
        <f>IF(ISNUMBER(MATCH(List_of_Countries_by_Sugarcane_Production[[#This Row],[Continent]],Analysis!$G$2:$G$7,0)),"Yes","No")</f>
        <v>Yes</v>
      </c>
    </row>
    <row r="44" spans="1:8" x14ac:dyDescent="0.25">
      <c r="A44">
        <v>43</v>
      </c>
      <c r="B44" t="s">
        <v>53</v>
      </c>
      <c r="C44" t="s">
        <v>15</v>
      </c>
      <c r="D44">
        <v>2419638</v>
      </c>
      <c r="E44">
        <v>581814</v>
      </c>
      <c r="F44">
        <v>37995</v>
      </c>
      <c r="G44">
        <v>63683</v>
      </c>
      <c r="H44" t="str">
        <f>IF(ISNUMBER(MATCH(List_of_Countries_by_Sugarcane_Production[[#This Row],[Continent]],Analysis!$G$2:$G$7,0)),"Yes","No")</f>
        <v>Yes</v>
      </c>
    </row>
    <row r="45" spans="1:8" x14ac:dyDescent="0.25">
      <c r="A45">
        <v>44</v>
      </c>
      <c r="B45" t="s">
        <v>54</v>
      </c>
      <c r="C45" t="s">
        <v>8</v>
      </c>
      <c r="D45">
        <v>2394553</v>
      </c>
      <c r="E45">
        <v>3061</v>
      </c>
      <c r="F45">
        <v>44311</v>
      </c>
      <c r="G45">
        <v>54040</v>
      </c>
      <c r="H45" t="str">
        <f>IF(ISNUMBER(MATCH(List_of_Countries_by_Sugarcane_Production[[#This Row],[Continent]],Analysis!$G$2:$G$7,0)),"Yes","No")</f>
        <v>Yes</v>
      </c>
    </row>
    <row r="46" spans="1:8" x14ac:dyDescent="0.25">
      <c r="A46">
        <v>45</v>
      </c>
      <c r="B46" t="s">
        <v>55</v>
      </c>
      <c r="C46" t="s">
        <v>26</v>
      </c>
      <c r="D46">
        <v>2191333</v>
      </c>
      <c r="E46">
        <v>2694</v>
      </c>
      <c r="F46">
        <v>4891</v>
      </c>
      <c r="G46">
        <v>44803</v>
      </c>
      <c r="H46" t="str">
        <f>IF(ISNUMBER(MATCH(List_of_Countries_by_Sugarcane_Production[[#This Row],[Continent]],Analysis!$G$2:$G$7,0)),"Yes","No")</f>
        <v>Yes</v>
      </c>
    </row>
    <row r="47" spans="1:8" x14ac:dyDescent="0.25">
      <c r="A47">
        <v>46</v>
      </c>
      <c r="B47" t="s">
        <v>56</v>
      </c>
      <c r="C47" t="s">
        <v>10</v>
      </c>
      <c r="D47">
        <v>2019000</v>
      </c>
      <c r="E47">
        <v>290036</v>
      </c>
      <c r="F47">
        <v>3618</v>
      </c>
      <c r="G47">
        <v>55804</v>
      </c>
      <c r="H47" t="str">
        <f>IF(ISNUMBER(MATCH(List_of_Countries_by_Sugarcane_Production[[#This Row],[Continent]],Analysis!$G$2:$G$7,0)),"Yes","No")</f>
        <v>Yes</v>
      </c>
    </row>
    <row r="48" spans="1:8" x14ac:dyDescent="0.25">
      <c r="A48">
        <v>47</v>
      </c>
      <c r="B48" t="s">
        <v>57</v>
      </c>
      <c r="C48" t="s">
        <v>26</v>
      </c>
      <c r="D48">
        <v>1982661</v>
      </c>
      <c r="E48">
        <v>79606</v>
      </c>
      <c r="F48">
        <v>25205</v>
      </c>
      <c r="G48">
        <v>78660</v>
      </c>
      <c r="H48" t="str">
        <f>IF(ISNUMBER(MATCH(List_of_Countries_by_Sugarcane_Production[[#This Row],[Continent]],Analysis!$G$2:$G$7,0)),"Yes","No")</f>
        <v>Yes</v>
      </c>
    </row>
    <row r="49" spans="1:8" x14ac:dyDescent="0.25">
      <c r="A49">
        <v>48</v>
      </c>
      <c r="B49" t="s">
        <v>58</v>
      </c>
      <c r="C49" t="s">
        <v>10</v>
      </c>
      <c r="D49">
        <v>1574000</v>
      </c>
      <c r="E49">
        <v>12444</v>
      </c>
      <c r="F49">
        <v>28901</v>
      </c>
      <c r="G49">
        <v>54462</v>
      </c>
      <c r="H49" t="str">
        <f>IF(ISNUMBER(MATCH(List_of_Countries_by_Sugarcane_Production[[#This Row],[Continent]],Analysis!$G$2:$G$7,0)),"Yes","No")</f>
        <v>Yes</v>
      </c>
    </row>
    <row r="50" spans="1:8" x14ac:dyDescent="0.25">
      <c r="A50">
        <v>49</v>
      </c>
      <c r="B50" t="s">
        <v>59</v>
      </c>
      <c r="C50" t="s">
        <v>17</v>
      </c>
      <c r="D50">
        <v>1556692</v>
      </c>
      <c r="E50">
        <v>1759</v>
      </c>
      <c r="F50">
        <v>36705</v>
      </c>
      <c r="G50">
        <v>42411</v>
      </c>
      <c r="H50" t="str">
        <f>IF(ISNUMBER(MATCH(List_of_Countries_by_Sugarcane_Production[[#This Row],[Continent]],Analysis!$G$2:$G$7,0)),"Yes","No")</f>
        <v>Yes</v>
      </c>
    </row>
    <row r="51" spans="1:8" x14ac:dyDescent="0.25">
      <c r="A51">
        <v>50</v>
      </c>
      <c r="B51" t="s">
        <v>60</v>
      </c>
      <c r="C51" t="s">
        <v>15</v>
      </c>
      <c r="D51">
        <v>1472712</v>
      </c>
      <c r="E51">
        <v>132522</v>
      </c>
      <c r="F51">
        <v>23184</v>
      </c>
      <c r="G51">
        <v>63522</v>
      </c>
      <c r="H51" t="str">
        <f>IF(ISNUMBER(MATCH(List_of_Countries_by_Sugarcane_Production[[#This Row],[Continent]],Analysis!$G$2:$G$7,0)),"Yes","No")</f>
        <v>Yes</v>
      </c>
    </row>
    <row r="52" spans="1:8" x14ac:dyDescent="0.25">
      <c r="A52">
        <v>51</v>
      </c>
      <c r="B52" t="s">
        <v>61</v>
      </c>
      <c r="C52" t="s">
        <v>15</v>
      </c>
      <c r="D52">
        <v>1457656</v>
      </c>
      <c r="E52">
        <v>3682</v>
      </c>
      <c r="F52">
        <v>33964</v>
      </c>
      <c r="G52">
        <v>42918</v>
      </c>
      <c r="H52" t="str">
        <f>IF(ISNUMBER(MATCH(List_of_Countries_by_Sugarcane_Production[[#This Row],[Continent]],Analysis!$G$2:$G$7,0)),"Yes","No")</f>
        <v>Yes</v>
      </c>
    </row>
    <row r="53" spans="1:8" x14ac:dyDescent="0.25">
      <c r="A53">
        <v>52</v>
      </c>
      <c r="B53" t="s">
        <v>62</v>
      </c>
      <c r="C53" t="s">
        <v>15</v>
      </c>
      <c r="D53">
        <v>1422432</v>
      </c>
      <c r="E53">
        <v>521254</v>
      </c>
      <c r="F53">
        <v>26255</v>
      </c>
      <c r="G53">
        <v>54178</v>
      </c>
      <c r="H53" t="str">
        <f>IF(ISNUMBER(MATCH(List_of_Countries_by_Sugarcane_Production[[#This Row],[Continent]],Analysis!$G$2:$G$7,0)),"Yes","No")</f>
        <v>Yes</v>
      </c>
    </row>
    <row r="54" spans="1:8" x14ac:dyDescent="0.25">
      <c r="A54">
        <v>53</v>
      </c>
      <c r="B54" t="s">
        <v>63</v>
      </c>
      <c r="C54" t="s">
        <v>26</v>
      </c>
      <c r="D54">
        <v>1410312</v>
      </c>
      <c r="E54">
        <v>13115</v>
      </c>
      <c r="F54">
        <v>31237</v>
      </c>
      <c r="G54">
        <v>45149</v>
      </c>
      <c r="H54" t="str">
        <f>IF(ISNUMBER(MATCH(List_of_Countries_by_Sugarcane_Production[[#This Row],[Continent]],Analysis!$G$2:$G$7,0)),"Yes","No")</f>
        <v>Yes</v>
      </c>
    </row>
    <row r="55" spans="1:8" x14ac:dyDescent="0.25">
      <c r="A55">
        <v>54</v>
      </c>
      <c r="B55" t="s">
        <v>64</v>
      </c>
      <c r="C55" t="s">
        <v>26</v>
      </c>
      <c r="D55">
        <v>1337572</v>
      </c>
      <c r="E55">
        <v>6776</v>
      </c>
      <c r="F55">
        <v>82586</v>
      </c>
      <c r="G55">
        <v>16196</v>
      </c>
      <c r="H55" t="str">
        <f>IF(ISNUMBER(MATCH(List_of_Countries_by_Sugarcane_Production[[#This Row],[Continent]],Analysis!$G$2:$G$7,0)),"Yes","No")</f>
        <v>Yes</v>
      </c>
    </row>
    <row r="56" spans="1:8" x14ac:dyDescent="0.25">
      <c r="A56">
        <v>55</v>
      </c>
      <c r="B56" t="s">
        <v>65</v>
      </c>
      <c r="C56" t="s">
        <v>26</v>
      </c>
      <c r="D56">
        <v>1288732</v>
      </c>
      <c r="E56">
        <v>54162</v>
      </c>
      <c r="F56">
        <v>135984</v>
      </c>
      <c r="G56">
        <v>9477</v>
      </c>
      <c r="H56" t="str">
        <f>IF(ISNUMBER(MATCH(List_of_Countries_by_Sugarcane_Production[[#This Row],[Continent]],Analysis!$G$2:$G$7,0)),"Yes","No")</f>
        <v>Yes</v>
      </c>
    </row>
    <row r="57" spans="1:8" x14ac:dyDescent="0.25">
      <c r="A57">
        <v>56</v>
      </c>
      <c r="B57" t="s">
        <v>66</v>
      </c>
      <c r="C57" t="s">
        <v>15</v>
      </c>
      <c r="D57">
        <v>810</v>
      </c>
      <c r="E57">
        <v>597066</v>
      </c>
      <c r="F57">
        <v>15</v>
      </c>
      <c r="G57">
        <v>54</v>
      </c>
      <c r="H57" t="str">
        <f>IF(ISNUMBER(MATCH(List_of_Countries_by_Sugarcane_Production[[#This Row],[Continent]],Analysis!$G$2:$G$7,0)),"Yes","No")</f>
        <v>Yes</v>
      </c>
    </row>
    <row r="58" spans="1:8" x14ac:dyDescent="0.25">
      <c r="A58">
        <v>57</v>
      </c>
      <c r="B58" t="s">
        <v>67</v>
      </c>
      <c r="C58" t="s">
        <v>10</v>
      </c>
      <c r="D58">
        <v>747907</v>
      </c>
      <c r="E58">
        <v>34877</v>
      </c>
      <c r="F58">
        <v>16751</v>
      </c>
      <c r="G58">
        <v>44648</v>
      </c>
      <c r="H58" t="str">
        <f>IF(ISNUMBER(MATCH(List_of_Countries_by_Sugarcane_Production[[#This Row],[Continent]],Analysis!$G$2:$G$7,0)),"Yes","No")</f>
        <v>Yes</v>
      </c>
    </row>
    <row r="59" spans="1:8" x14ac:dyDescent="0.25">
      <c r="A59">
        <v>58</v>
      </c>
      <c r="B59" t="s">
        <v>68</v>
      </c>
      <c r="C59" t="s">
        <v>26</v>
      </c>
      <c r="D59">
        <v>696992</v>
      </c>
      <c r="E59">
        <v>44321</v>
      </c>
      <c r="F59">
        <v>5902</v>
      </c>
      <c r="G59">
        <v>118085</v>
      </c>
      <c r="H59" t="str">
        <f>IF(ISNUMBER(MATCH(List_of_Countries_by_Sugarcane_Production[[#This Row],[Continent]],Analysis!$G$2:$G$7,0)),"Yes","No")</f>
        <v>Yes</v>
      </c>
    </row>
    <row r="60" spans="1:8" x14ac:dyDescent="0.25">
      <c r="A60">
        <v>59</v>
      </c>
      <c r="B60" t="s">
        <v>69</v>
      </c>
      <c r="C60" t="s">
        <v>26</v>
      </c>
      <c r="D60">
        <v>687365</v>
      </c>
      <c r="E60">
        <v>127292</v>
      </c>
      <c r="F60">
        <v>20132</v>
      </c>
      <c r="G60">
        <v>34142</v>
      </c>
      <c r="H60" t="str">
        <f>IF(ISNUMBER(MATCH(List_of_Countries_by_Sugarcane_Production[[#This Row],[Continent]],Analysis!$G$2:$G$7,0)),"Yes","No")</f>
        <v>Yes</v>
      </c>
    </row>
    <row r="61" spans="1:8" x14ac:dyDescent="0.25">
      <c r="A61">
        <v>60</v>
      </c>
      <c r="B61" t="s">
        <v>70</v>
      </c>
      <c r="C61" t="s">
        <v>10</v>
      </c>
      <c r="D61">
        <v>610878</v>
      </c>
      <c r="E61">
        <v>38014</v>
      </c>
      <c r="F61">
        <v>27387</v>
      </c>
      <c r="G61">
        <v>22306</v>
      </c>
      <c r="H61" t="str">
        <f>IF(ISNUMBER(MATCH(List_of_Countries_by_Sugarcane_Production[[#This Row],[Continent]],Analysis!$G$2:$G$7,0)),"Yes","No")</f>
        <v>Yes</v>
      </c>
    </row>
    <row r="62" spans="1:8" x14ac:dyDescent="0.25">
      <c r="A62">
        <v>61</v>
      </c>
      <c r="B62" t="s">
        <v>71</v>
      </c>
      <c r="C62" t="s">
        <v>26</v>
      </c>
      <c r="D62">
        <v>556094</v>
      </c>
      <c r="E62">
        <v>19012</v>
      </c>
      <c r="F62">
        <v>14255</v>
      </c>
      <c r="G62">
        <v>39012</v>
      </c>
      <c r="H62" t="str">
        <f>IF(ISNUMBER(MATCH(List_of_Countries_by_Sugarcane_Production[[#This Row],[Continent]],Analysis!$G$2:$G$7,0)),"Yes","No")</f>
        <v>Yes</v>
      </c>
    </row>
    <row r="63" spans="1:8" x14ac:dyDescent="0.25">
      <c r="A63">
        <v>62</v>
      </c>
      <c r="B63" t="s">
        <v>72</v>
      </c>
      <c r="C63" t="s">
        <v>26</v>
      </c>
      <c r="D63">
        <v>484872</v>
      </c>
      <c r="E63">
        <v>23951</v>
      </c>
      <c r="F63">
        <v>4823</v>
      </c>
      <c r="G63">
        <v>100526</v>
      </c>
      <c r="H63" t="str">
        <f>IF(ISNUMBER(MATCH(List_of_Countries_by_Sugarcane_Production[[#This Row],[Continent]],Analysis!$G$2:$G$7,0)),"Yes","No")</f>
        <v>Yes</v>
      </c>
    </row>
    <row r="64" spans="1:8" x14ac:dyDescent="0.25">
      <c r="A64">
        <v>63</v>
      </c>
      <c r="B64" t="s">
        <v>73</v>
      </c>
      <c r="C64" t="s">
        <v>26</v>
      </c>
      <c r="D64">
        <v>455986</v>
      </c>
      <c r="E64">
        <v>297</v>
      </c>
      <c r="F64">
        <v>4433</v>
      </c>
      <c r="G64">
        <v>102867</v>
      </c>
      <c r="H64" t="str">
        <f>IF(ISNUMBER(MATCH(List_of_Countries_by_Sugarcane_Production[[#This Row],[Continent]],Analysis!$G$2:$G$7,0)),"Yes","No")</f>
        <v>Yes</v>
      </c>
    </row>
    <row r="65" spans="1:8" x14ac:dyDescent="0.25">
      <c r="A65">
        <v>64</v>
      </c>
      <c r="B65" t="s">
        <v>74</v>
      </c>
      <c r="C65" t="s">
        <v>26</v>
      </c>
      <c r="D65">
        <v>426503</v>
      </c>
      <c r="E65">
        <v>12265</v>
      </c>
      <c r="F65">
        <v>10434</v>
      </c>
      <c r="G65">
        <v>40876</v>
      </c>
      <c r="H65" t="str">
        <f>IF(ISNUMBER(MATCH(List_of_Countries_by_Sugarcane_Production[[#This Row],[Continent]],Analysis!$G$2:$G$7,0)),"Yes","No")</f>
        <v>Yes</v>
      </c>
    </row>
    <row r="66" spans="1:8" x14ac:dyDescent="0.25">
      <c r="A66">
        <v>65</v>
      </c>
      <c r="B66" t="s">
        <v>75</v>
      </c>
      <c r="C66" t="s">
        <v>10</v>
      </c>
      <c r="D66">
        <v>3958</v>
      </c>
      <c r="E66">
        <v>16788</v>
      </c>
      <c r="F66">
        <v>5917</v>
      </c>
      <c r="G66">
        <v>66897</v>
      </c>
      <c r="H66" t="str">
        <f>IF(ISNUMBER(MATCH(List_of_Countries_by_Sugarcane_Production[[#This Row],[Continent]],Analysis!$G$2:$G$7,0)),"Yes","No")</f>
        <v>Yes</v>
      </c>
    </row>
    <row r="67" spans="1:8" x14ac:dyDescent="0.25">
      <c r="A67">
        <v>66</v>
      </c>
      <c r="B67" t="s">
        <v>76</v>
      </c>
      <c r="C67" t="s">
        <v>8</v>
      </c>
      <c r="D67">
        <v>3677</v>
      </c>
      <c r="E67">
        <v>104878</v>
      </c>
      <c r="F67">
        <v>76</v>
      </c>
      <c r="G67">
        <v>48382</v>
      </c>
      <c r="H67" t="str">
        <f>IF(ISNUMBER(MATCH(List_of_Countries_by_Sugarcane_Production[[#This Row],[Continent]],Analysis!$G$2:$G$7,0)),"Yes","No")</f>
        <v>Yes</v>
      </c>
    </row>
    <row r="68" spans="1:8" x14ac:dyDescent="0.25">
      <c r="A68">
        <v>67</v>
      </c>
      <c r="B68" t="s">
        <v>77</v>
      </c>
      <c r="C68" t="s">
        <v>26</v>
      </c>
      <c r="D68">
        <v>365119</v>
      </c>
      <c r="E68">
        <v>19108</v>
      </c>
      <c r="F68">
        <v>5035</v>
      </c>
      <c r="G68">
        <v>72521</v>
      </c>
      <c r="H68" t="str">
        <f>IF(ISNUMBER(MATCH(List_of_Countries_by_Sugarcane_Production[[#This Row],[Continent]],Analysis!$G$2:$G$7,0)),"Yes","No")</f>
        <v>Yes</v>
      </c>
    </row>
    <row r="69" spans="1:8" x14ac:dyDescent="0.25">
      <c r="A69">
        <v>68</v>
      </c>
      <c r="B69" t="s">
        <v>78</v>
      </c>
      <c r="C69" t="s">
        <v>26</v>
      </c>
      <c r="D69">
        <v>304975</v>
      </c>
      <c r="E69">
        <v>25664</v>
      </c>
      <c r="F69">
        <v>5683</v>
      </c>
      <c r="G69">
        <v>53668</v>
      </c>
      <c r="H69" t="str">
        <f>IF(ISNUMBER(MATCH(List_of_Countries_by_Sugarcane_Production[[#This Row],[Continent]],Analysis!$G$2:$G$7,0)),"Yes","No")</f>
        <v>Yes</v>
      </c>
    </row>
    <row r="70" spans="1:8" x14ac:dyDescent="0.25">
      <c r="A70">
        <v>69</v>
      </c>
      <c r="B70" t="s">
        <v>79</v>
      </c>
      <c r="C70" t="s">
        <v>26</v>
      </c>
      <c r="D70">
        <v>286466</v>
      </c>
      <c r="E70">
        <v>138553</v>
      </c>
      <c r="F70">
        <v>4645</v>
      </c>
      <c r="G70">
        <v>61675</v>
      </c>
      <c r="H70" t="str">
        <f>IF(ISNUMBER(MATCH(List_of_Countries_by_Sugarcane_Production[[#This Row],[Continent]],Analysis!$G$2:$G$7,0)),"Yes","No")</f>
        <v>Yes</v>
      </c>
    </row>
    <row r="71" spans="1:8" x14ac:dyDescent="0.25">
      <c r="A71">
        <v>70</v>
      </c>
      <c r="B71" t="s">
        <v>80</v>
      </c>
      <c r="C71" t="s">
        <v>26</v>
      </c>
      <c r="D71">
        <v>272804</v>
      </c>
      <c r="E71">
        <v>6225</v>
      </c>
      <c r="F71">
        <v>26781</v>
      </c>
      <c r="G71">
        <v>10186</v>
      </c>
      <c r="H71" t="str">
        <f>IF(ISNUMBER(MATCH(List_of_Countries_by_Sugarcane_Production[[#This Row],[Continent]],Analysis!$G$2:$G$7,0)),"Yes","No")</f>
        <v>Yes</v>
      </c>
    </row>
    <row r="72" spans="1:8" x14ac:dyDescent="0.25">
      <c r="A72">
        <v>71</v>
      </c>
      <c r="B72" t="s">
        <v>81</v>
      </c>
      <c r="C72" t="s">
        <v>26</v>
      </c>
      <c r="D72">
        <v>218115</v>
      </c>
      <c r="E72">
        <v>2042</v>
      </c>
      <c r="F72">
        <v>2998</v>
      </c>
      <c r="G72">
        <v>72754</v>
      </c>
      <c r="H72" t="str">
        <f>IF(ISNUMBER(MATCH(List_of_Countries_by_Sugarcane_Production[[#This Row],[Continent]],Analysis!$G$2:$G$7,0)),"Yes","No")</f>
        <v>Yes</v>
      </c>
    </row>
    <row r="73" spans="1:8" x14ac:dyDescent="0.25">
      <c r="A73">
        <v>72</v>
      </c>
      <c r="B73" t="s">
        <v>82</v>
      </c>
      <c r="C73" t="s">
        <v>17</v>
      </c>
      <c r="D73">
        <v>217866</v>
      </c>
      <c r="E73">
        <v>25455</v>
      </c>
      <c r="F73">
        <v>6999</v>
      </c>
      <c r="G73">
        <v>31129</v>
      </c>
      <c r="H73" t="str">
        <f>IF(ISNUMBER(MATCH(List_of_Countries_by_Sugarcane_Production[[#This Row],[Continent]],Analysis!$G$2:$G$7,0)),"Yes","No")</f>
        <v>Yes</v>
      </c>
    </row>
    <row r="74" spans="1:8" x14ac:dyDescent="0.25">
      <c r="A74">
        <v>73</v>
      </c>
      <c r="B74" t="s">
        <v>83</v>
      </c>
      <c r="C74" t="s">
        <v>26</v>
      </c>
      <c r="D74">
        <v>216037</v>
      </c>
      <c r="E74">
        <v>10064</v>
      </c>
      <c r="F74">
        <v>584</v>
      </c>
      <c r="G74">
        <v>36990</v>
      </c>
      <c r="H74" t="str">
        <f>IF(ISNUMBER(MATCH(List_of_Countries_by_Sugarcane_Production[[#This Row],[Continent]],Analysis!$G$2:$G$7,0)),"Yes","No")</f>
        <v>Yes</v>
      </c>
    </row>
    <row r="75" spans="1:8" x14ac:dyDescent="0.25">
      <c r="A75">
        <v>74</v>
      </c>
      <c r="B75" t="s">
        <v>84</v>
      </c>
      <c r="C75" t="s">
        <v>26</v>
      </c>
      <c r="D75">
        <v>21062</v>
      </c>
      <c r="E75">
        <v>13873</v>
      </c>
      <c r="F75">
        <v>5731</v>
      </c>
      <c r="G75">
        <v>36749</v>
      </c>
      <c r="H75" t="str">
        <f>IF(ISNUMBER(MATCH(List_of_Countries_by_Sugarcane_Production[[#This Row],[Continent]],Analysis!$G$2:$G$7,0)),"Yes","No")</f>
        <v>Yes</v>
      </c>
    </row>
    <row r="76" spans="1:8" x14ac:dyDescent="0.25">
      <c r="A76">
        <v>75</v>
      </c>
      <c r="B76" t="s">
        <v>85</v>
      </c>
      <c r="C76" t="s">
        <v>26</v>
      </c>
      <c r="D76">
        <v>152136</v>
      </c>
      <c r="E76">
        <v>5137</v>
      </c>
      <c r="F76">
        <v>6122</v>
      </c>
      <c r="G76">
        <v>24849</v>
      </c>
      <c r="H76" t="str">
        <f>IF(ISNUMBER(MATCH(List_of_Countries_by_Sugarcane_Production[[#This Row],[Continent]],Analysis!$G$2:$G$7,0)),"Yes","No")</f>
        <v>Yes</v>
      </c>
    </row>
    <row r="77" spans="1:8" x14ac:dyDescent="0.25">
      <c r="A77">
        <v>76</v>
      </c>
      <c r="B77" t="s">
        <v>86</v>
      </c>
      <c r="C77" t="s">
        <v>8</v>
      </c>
      <c r="D77">
        <v>125286</v>
      </c>
      <c r="E77">
        <v>220457</v>
      </c>
      <c r="F77">
        <v>313</v>
      </c>
      <c r="G77">
        <v>40022</v>
      </c>
      <c r="H77" t="str">
        <f>IF(ISNUMBER(MATCH(List_of_Countries_by_Sugarcane_Production[[#This Row],[Continent]],Analysis!$G$2:$G$7,0)),"Yes","No")</f>
        <v>Yes</v>
      </c>
    </row>
    <row r="78" spans="1:8" x14ac:dyDescent="0.25">
      <c r="A78">
        <v>77</v>
      </c>
      <c r="B78" t="s">
        <v>87</v>
      </c>
      <c r="C78" t="s">
        <v>26</v>
      </c>
      <c r="D78">
        <v>103002</v>
      </c>
      <c r="E78">
        <v>21742</v>
      </c>
      <c r="F78">
        <v>18466</v>
      </c>
      <c r="G78">
        <v>5578</v>
      </c>
      <c r="H78" t="str">
        <f>IF(ISNUMBER(MATCH(List_of_Countries_by_Sugarcane_Production[[#This Row],[Continent]],Analysis!$G$2:$G$7,0)),"Yes","No")</f>
        <v>Yes</v>
      </c>
    </row>
    <row r="79" spans="1:8" x14ac:dyDescent="0.25">
      <c r="A79">
        <v>78</v>
      </c>
      <c r="B79" t="s">
        <v>88</v>
      </c>
      <c r="C79" t="s">
        <v>15</v>
      </c>
      <c r="D79">
        <v>100</v>
      </c>
      <c r="E79">
        <v>2164</v>
      </c>
      <c r="F79">
        <v>18</v>
      </c>
      <c r="G79">
        <v>55556</v>
      </c>
      <c r="H79" t="str">
        <f>IF(ISNUMBER(MATCH(List_of_Countries_by_Sugarcane_Production[[#This Row],[Continent]],Analysis!$G$2:$G$7,0)),"Yes","No")</f>
        <v>Yes</v>
      </c>
    </row>
    <row r="80" spans="1:8" x14ac:dyDescent="0.25">
      <c r="A80">
        <v>79</v>
      </c>
      <c r="B80" t="s">
        <v>89</v>
      </c>
      <c r="C80" t="s">
        <v>26</v>
      </c>
      <c r="D80">
        <v>93823</v>
      </c>
      <c r="E80">
        <v>7818</v>
      </c>
      <c r="F80">
        <v>1103</v>
      </c>
      <c r="G80">
        <v>8506</v>
      </c>
      <c r="H80" t="str">
        <f>IF(ISNUMBER(MATCH(List_of_Countries_by_Sugarcane_Production[[#This Row],[Continent]],Analysis!$G$2:$G$7,0)),"Yes","No")</f>
        <v>Yes</v>
      </c>
    </row>
    <row r="81" spans="1:8" x14ac:dyDescent="0.25">
      <c r="A81">
        <v>80</v>
      </c>
      <c r="B81" t="s">
        <v>90</v>
      </c>
      <c r="C81" t="s">
        <v>15</v>
      </c>
      <c r="D81">
        <v>83369</v>
      </c>
      <c r="E81">
        <v>291105</v>
      </c>
      <c r="F81">
        <v>1733</v>
      </c>
      <c r="G81">
        <v>48107</v>
      </c>
      <c r="H81" t="str">
        <f>IF(ISNUMBER(MATCH(List_of_Countries_by_Sugarcane_Production[[#This Row],[Continent]],Analysis!$G$2:$G$7,0)),"Yes","No")</f>
        <v>Yes</v>
      </c>
    </row>
    <row r="82" spans="1:8" x14ac:dyDescent="0.25">
      <c r="A82">
        <v>81</v>
      </c>
      <c r="B82" t="s">
        <v>91</v>
      </c>
      <c r="C82" t="s">
        <v>26</v>
      </c>
      <c r="D82">
        <v>77269</v>
      </c>
      <c r="E82">
        <v>10009</v>
      </c>
      <c r="F82">
        <v>1107</v>
      </c>
      <c r="G82">
        <v>69811</v>
      </c>
      <c r="H82" t="str">
        <f>IF(ISNUMBER(MATCH(List_of_Countries_by_Sugarcane_Production[[#This Row],[Continent]],Analysis!$G$2:$G$7,0)),"Yes","No")</f>
        <v>Yes</v>
      </c>
    </row>
    <row r="83" spans="1:8" x14ac:dyDescent="0.25">
      <c r="A83">
        <v>82</v>
      </c>
      <c r="B83" t="s">
        <v>92</v>
      </c>
      <c r="C83" t="s">
        <v>15</v>
      </c>
      <c r="D83">
        <v>57602</v>
      </c>
      <c r="E83">
        <v>151059</v>
      </c>
      <c r="F83">
        <v>2308</v>
      </c>
      <c r="G83">
        <v>24954</v>
      </c>
      <c r="H83" t="str">
        <f>IF(ISNUMBER(MATCH(List_of_Countries_by_Sugarcane_Production[[#This Row],[Continent]],Analysis!$G$2:$G$7,0)),"Yes","No")</f>
        <v>Yes</v>
      </c>
    </row>
    <row r="84" spans="1:8" x14ac:dyDescent="0.25">
      <c r="A84">
        <v>83</v>
      </c>
      <c r="B84" t="s">
        <v>93</v>
      </c>
      <c r="C84" t="s">
        <v>26</v>
      </c>
      <c r="D84">
        <v>28375</v>
      </c>
      <c r="E84">
        <v>52152</v>
      </c>
      <c r="F84">
        <v>1296</v>
      </c>
      <c r="G84">
        <v>21888</v>
      </c>
      <c r="H84" t="str">
        <f>IF(ISNUMBER(MATCH(List_of_Countries_by_Sugarcane_Production[[#This Row],[Continent]],Analysis!$G$2:$G$7,0)),"Yes","No")</f>
        <v>Yes</v>
      </c>
    </row>
    <row r="85" spans="1:8" x14ac:dyDescent="0.25">
      <c r="A85">
        <v>84</v>
      </c>
      <c r="B85" t="s">
        <v>94</v>
      </c>
      <c r="C85" t="s">
        <v>15</v>
      </c>
      <c r="D85">
        <v>17871</v>
      </c>
      <c r="E85">
        <v>163121</v>
      </c>
      <c r="F85">
        <v>732</v>
      </c>
      <c r="G85">
        <v>24429</v>
      </c>
      <c r="H85" t="str">
        <f>IF(ISNUMBER(MATCH(List_of_Countries_by_Sugarcane_Production[[#This Row],[Continent]],Analysis!$G$2:$G$7,0)),"Yes","No")</f>
        <v>Yes</v>
      </c>
    </row>
    <row r="86" spans="1:8" x14ac:dyDescent="0.25">
      <c r="A86">
        <v>85</v>
      </c>
      <c r="B86" t="s">
        <v>95</v>
      </c>
      <c r="C86" t="s">
        <v>10</v>
      </c>
      <c r="D86">
        <v>17364</v>
      </c>
      <c r="E86">
        <v>55</v>
      </c>
      <c r="F86">
        <v>1333</v>
      </c>
      <c r="G86">
        <v>13026</v>
      </c>
      <c r="H86" t="str">
        <f>IF(ISNUMBER(MATCH(List_of_Countries_by_Sugarcane_Production[[#This Row],[Continent]],Analysis!$G$2:$G$7,0)),"Yes","No")</f>
        <v>Yes</v>
      </c>
    </row>
    <row r="87" spans="1:8" x14ac:dyDescent="0.25">
      <c r="A87">
        <v>86</v>
      </c>
      <c r="B87" t="s">
        <v>96</v>
      </c>
      <c r="C87" t="s">
        <v>10</v>
      </c>
      <c r="D87">
        <v>146</v>
      </c>
      <c r="E87">
        <v>20079</v>
      </c>
      <c r="F87">
        <v>467</v>
      </c>
      <c r="G87">
        <v>31253</v>
      </c>
      <c r="H87" t="str">
        <f>IF(ISNUMBER(MATCH(List_of_Countries_by_Sugarcane_Production[[#This Row],[Continent]],Analysis!$G$2:$G$7,0)),"Yes","No")</f>
        <v>Yes</v>
      </c>
    </row>
    <row r="88" spans="1:8" x14ac:dyDescent="0.25">
      <c r="A88">
        <v>87</v>
      </c>
      <c r="B88" t="s">
        <v>97</v>
      </c>
      <c r="C88" t="s">
        <v>26</v>
      </c>
      <c r="D88">
        <v>12017</v>
      </c>
      <c r="E88">
        <v>1058</v>
      </c>
      <c r="F88">
        <v>598</v>
      </c>
      <c r="G88">
        <v>20095</v>
      </c>
      <c r="H88" t="str">
        <f>IF(ISNUMBER(MATCH(List_of_Countries_by_Sugarcane_Production[[#This Row],[Continent]],Analysis!$G$2:$G$7,0)),"Yes","No")</f>
        <v>Yes</v>
      </c>
    </row>
    <row r="89" spans="1:8" x14ac:dyDescent="0.25">
      <c r="A89">
        <v>88</v>
      </c>
      <c r="B89" t="s">
        <v>98</v>
      </c>
      <c r="C89" t="s">
        <v>10</v>
      </c>
      <c r="D89">
        <v>1167</v>
      </c>
      <c r="E89">
        <v>297</v>
      </c>
      <c r="F89">
        <v>584</v>
      </c>
      <c r="G89">
        <v>20</v>
      </c>
      <c r="H89" t="str">
        <f>IF(ISNUMBER(MATCH(List_of_Countries_by_Sugarcane_Production[[#This Row],[Continent]],Analysis!$G$2:$G$7,0)),"Yes","No")</f>
        <v>Yes</v>
      </c>
    </row>
    <row r="90" spans="1:8" x14ac:dyDescent="0.25">
      <c r="A90">
        <v>89</v>
      </c>
      <c r="B90" t="s">
        <v>99</v>
      </c>
      <c r="C90" t="s">
        <v>15</v>
      </c>
      <c r="D90">
        <v>10</v>
      </c>
      <c r="E90">
        <v>55915</v>
      </c>
      <c r="F90">
        <v>125</v>
      </c>
      <c r="G90">
        <v>80</v>
      </c>
      <c r="H90" t="str">
        <f>IF(ISNUMBER(MATCH(List_of_Countries_by_Sugarcane_Production[[#This Row],[Continent]],Analysis!$G$2:$G$7,0)),"Yes","No")</f>
        <v>Yes</v>
      </c>
    </row>
    <row r="91" spans="1:8" x14ac:dyDescent="0.25">
      <c r="A91">
        <v>90</v>
      </c>
      <c r="B91" t="s">
        <v>100</v>
      </c>
      <c r="C91" t="s">
        <v>15</v>
      </c>
      <c r="D91">
        <v>7273</v>
      </c>
      <c r="E91">
        <v>70388</v>
      </c>
      <c r="F91">
        <v>162</v>
      </c>
      <c r="G91">
        <v>44822</v>
      </c>
      <c r="H91" t="str">
        <f>IF(ISNUMBER(MATCH(List_of_Countries_by_Sugarcane_Production[[#This Row],[Continent]],Analysis!$G$2:$G$7,0)),"Yes","No")</f>
        <v>Yes</v>
      </c>
    </row>
    <row r="92" spans="1:8" x14ac:dyDescent="0.25">
      <c r="A92">
        <v>91</v>
      </c>
      <c r="B92" t="s">
        <v>101</v>
      </c>
      <c r="C92" t="s">
        <v>26</v>
      </c>
      <c r="D92">
        <v>6864</v>
      </c>
      <c r="E92">
        <v>4331</v>
      </c>
      <c r="F92">
        <v>259</v>
      </c>
      <c r="G92">
        <v>26499</v>
      </c>
      <c r="H92" t="str">
        <f>IF(ISNUMBER(MATCH(List_of_Countries_by_Sugarcane_Production[[#This Row],[Continent]],Analysis!$G$2:$G$7,0)),"Yes","No")</f>
        <v>Yes</v>
      </c>
    </row>
    <row r="93" spans="1:8" x14ac:dyDescent="0.25">
      <c r="A93">
        <v>92</v>
      </c>
      <c r="B93" t="s">
        <v>102</v>
      </c>
      <c r="C93" t="s">
        <v>10</v>
      </c>
      <c r="D93">
        <v>5714</v>
      </c>
      <c r="E93">
        <v>175</v>
      </c>
      <c r="F93">
        <v>88</v>
      </c>
      <c r="G93">
        <v>65224</v>
      </c>
      <c r="H93" t="str">
        <f>IF(ISNUMBER(MATCH(List_of_Countries_by_Sugarcane_Production[[#This Row],[Continent]],Analysis!$G$2:$G$7,0)),"Yes","No")</f>
        <v>Yes</v>
      </c>
    </row>
    <row r="94" spans="1:8" x14ac:dyDescent="0.25">
      <c r="A94">
        <v>93</v>
      </c>
      <c r="B94" t="s">
        <v>103</v>
      </c>
      <c r="C94" t="s">
        <v>104</v>
      </c>
      <c r="D94">
        <v>5429</v>
      </c>
      <c r="E94">
        <v>528</v>
      </c>
      <c r="F94">
        <v>62</v>
      </c>
      <c r="G94">
        <v>88274</v>
      </c>
      <c r="H94" t="str">
        <f>IF(ISNUMBER(MATCH(List_of_Countries_by_Sugarcane_Production[[#This Row],[Continent]],Analysis!$G$2:$G$7,0)),"Yes","No")</f>
        <v>Yes</v>
      </c>
    </row>
    <row r="95" spans="1:8" x14ac:dyDescent="0.25">
      <c r="A95">
        <v>94</v>
      </c>
      <c r="B95" t="s">
        <v>105</v>
      </c>
      <c r="C95" t="s">
        <v>15</v>
      </c>
      <c r="D95">
        <v>5365</v>
      </c>
      <c r="E95">
        <v>6217</v>
      </c>
      <c r="F95">
        <v>83</v>
      </c>
      <c r="G95">
        <v>64639</v>
      </c>
      <c r="H95" t="str">
        <f>IF(ISNUMBER(MATCH(List_of_Countries_by_Sugarcane_Production[[#This Row],[Continent]],Analysis!$G$2:$G$7,0)),"Yes","No")</f>
        <v>Yes</v>
      </c>
    </row>
    <row r="96" spans="1:8" x14ac:dyDescent="0.25">
      <c r="A96">
        <v>95</v>
      </c>
      <c r="B96" t="s">
        <v>106</v>
      </c>
      <c r="C96" t="s">
        <v>15</v>
      </c>
      <c r="D96">
        <v>4855</v>
      </c>
      <c r="E96">
        <v>68099</v>
      </c>
      <c r="F96">
        <v>244</v>
      </c>
      <c r="G96">
        <v>19914</v>
      </c>
      <c r="H96" t="str">
        <f>IF(ISNUMBER(MATCH(List_of_Countries_by_Sugarcane_Production[[#This Row],[Continent]],Analysis!$G$2:$G$7,0)),"Yes","No")</f>
        <v>Yes</v>
      </c>
    </row>
    <row r="97" spans="1:8" x14ac:dyDescent="0.25">
      <c r="A97">
        <v>96</v>
      </c>
      <c r="B97" t="s">
        <v>107</v>
      </c>
      <c r="C97" t="s">
        <v>10</v>
      </c>
      <c r="D97">
        <v>1186</v>
      </c>
      <c r="E97">
        <v>237</v>
      </c>
      <c r="F97">
        <v>51</v>
      </c>
      <c r="G97">
        <v>23432</v>
      </c>
      <c r="H97" t="str">
        <f>IF(ISNUMBER(MATCH(List_of_Countries_by_Sugarcane_Production[[#This Row],[Continent]],Analysis!$G$2:$G$7,0)),"Yes","No")</f>
        <v>Yes</v>
      </c>
    </row>
    <row r="98" spans="1:8" x14ac:dyDescent="0.25">
      <c r="A98">
        <v>97</v>
      </c>
      <c r="B98" t="s">
        <v>108</v>
      </c>
      <c r="C98" t="s">
        <v>10</v>
      </c>
      <c r="D98">
        <v>500</v>
      </c>
      <c r="E98">
        <v>17</v>
      </c>
      <c r="F98">
        <v>50</v>
      </c>
      <c r="G98">
        <v>10</v>
      </c>
      <c r="H98" t="str">
        <f>IF(ISNUMBER(MATCH(List_of_Countries_by_Sugarcane_Production[[#This Row],[Continent]],Analysis!$G$2:$G$7,0)),"Yes","No")</f>
        <v>Yes</v>
      </c>
    </row>
    <row r="99" spans="1:8" x14ac:dyDescent="0.25">
      <c r="A99">
        <v>98</v>
      </c>
      <c r="B99" t="s">
        <v>109</v>
      </c>
      <c r="C99" t="s">
        <v>104</v>
      </c>
      <c r="D99">
        <v>394</v>
      </c>
      <c r="E99">
        <v>8</v>
      </c>
      <c r="F99">
        <v>9</v>
      </c>
      <c r="G99">
        <v>43596</v>
      </c>
      <c r="H99" t="str">
        <f>IF(ISNUMBER(MATCH(List_of_Countries_by_Sugarcane_Production[[#This Row],[Continent]],Analysis!$G$2:$G$7,0)),"Yes","No")</f>
        <v>Yes</v>
      </c>
    </row>
    <row r="100" spans="1:8" x14ac:dyDescent="0.25">
      <c r="A100">
        <v>99</v>
      </c>
      <c r="B100" t="s">
        <v>110</v>
      </c>
      <c r="C100" t="s">
        <v>10</v>
      </c>
      <c r="D100">
        <v>97</v>
      </c>
      <c r="E100">
        <v>16</v>
      </c>
      <c r="F100">
        <v>3</v>
      </c>
      <c r="G100">
        <v>28386</v>
      </c>
      <c r="H100" t="str">
        <f>IF(ISNUMBER(MATCH(List_of_Countries_by_Sugarcane_Production[[#This Row],[Continent]],Analysis!$G$2:$G$7,0)),"Yes","No")</f>
        <v>Yes</v>
      </c>
    </row>
    <row r="101" spans="1:8" x14ac:dyDescent="0.25">
      <c r="A101">
        <v>100</v>
      </c>
      <c r="B101" t="s">
        <v>111</v>
      </c>
      <c r="C101" t="s">
        <v>26</v>
      </c>
      <c r="D101">
        <v>53</v>
      </c>
      <c r="E101">
        <v>51</v>
      </c>
      <c r="F101">
        <v>249898</v>
      </c>
      <c r="G101">
        <v>52628</v>
      </c>
      <c r="H101" t="str">
        <f>IF(ISNUMBER(MATCH(List_of_Countries_by_Sugarcane_Production[[#This Row],[Continent]],Analysis!$G$2:$G$7,0)),"Yes","No")</f>
        <v>Yes</v>
      </c>
    </row>
    <row r="102" spans="1:8" x14ac:dyDescent="0.25">
      <c r="A102">
        <v>101</v>
      </c>
      <c r="B102" t="s">
        <v>112</v>
      </c>
      <c r="C102" t="s">
        <v>10</v>
      </c>
      <c r="D102">
        <v>50</v>
      </c>
      <c r="E102">
        <v>9</v>
      </c>
      <c r="F102">
        <v>2</v>
      </c>
      <c r="G102">
        <v>25</v>
      </c>
      <c r="H102" t="str">
        <f>IF(ISNUMBER(MATCH(List_of_Countries_by_Sugarcane_Production[[#This Row],[Continent]],Analysis!$G$2:$G$7,0)),"Yes","No")</f>
        <v>Yes</v>
      </c>
    </row>
    <row r="103" spans="1:8" x14ac:dyDescent="0.25">
      <c r="A103">
        <v>102</v>
      </c>
      <c r="B103" t="s">
        <v>113</v>
      </c>
      <c r="C103" t="s">
        <v>17</v>
      </c>
      <c r="D103">
        <v>12</v>
      </c>
      <c r="E103">
        <v>6</v>
      </c>
      <c r="F103">
        <v>1</v>
      </c>
      <c r="G103">
        <v>11950</v>
      </c>
      <c r="H103" t="str">
        <f>IF(ISNUMBER(MATCH(List_of_Countries_by_Sugarcane_Production[[#This Row],[Continent]],Analysis!$G$2:$G$7,0)),"Yes","No")</f>
        <v>Yes</v>
      </c>
    </row>
    <row r="104" spans="1:8" x14ac:dyDescent="0.25">
      <c r="A104">
        <v>103</v>
      </c>
      <c r="B104" t="s">
        <v>114</v>
      </c>
      <c r="C104" t="s">
        <v>10</v>
      </c>
      <c r="D104">
        <v>1</v>
      </c>
      <c r="E104">
        <v>0</v>
      </c>
      <c r="F104">
        <v>0</v>
      </c>
      <c r="G104">
        <v>83034</v>
      </c>
      <c r="H104" t="str">
        <f>IF(ISNUMBER(MATCH(List_of_Countries_by_Sugarcane_Production[[#This Row],[Continent]],Analysis!$G$2:$G$7,0)),"Yes","No")</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ABAD9-66E6-4642-9F67-199468A1A5F1}">
  <dimension ref="A1:G130"/>
  <sheetViews>
    <sheetView showGridLines="0" workbookViewId="0">
      <selection activeCell="F20" sqref="F20"/>
    </sheetView>
  </sheetViews>
  <sheetFormatPr defaultRowHeight="15" x14ac:dyDescent="0.25"/>
  <cols>
    <col min="1" max="1" width="23.28515625" customWidth="1"/>
    <col min="2" max="2" width="28.7109375" bestFit="1" customWidth="1"/>
    <col min="3" max="3" width="26.42578125" bestFit="1" customWidth="1"/>
    <col min="4" max="4" width="11.28515625" bestFit="1" customWidth="1"/>
    <col min="5" max="5" width="21.7109375" customWidth="1"/>
    <col min="6" max="6" width="34.140625" bestFit="1" customWidth="1"/>
    <col min="7" max="7" width="13.85546875" bestFit="1" customWidth="1"/>
    <col min="8" max="8" width="11.28515625" bestFit="1" customWidth="1"/>
  </cols>
  <sheetData>
    <row r="1" spans="1:7" x14ac:dyDescent="0.25">
      <c r="A1" s="2" t="s">
        <v>1</v>
      </c>
      <c r="B1" t="s">
        <v>116</v>
      </c>
      <c r="D1" s="2" t="s">
        <v>1</v>
      </c>
      <c r="E1" t="s">
        <v>118</v>
      </c>
      <c r="G1" s="2" t="s">
        <v>127</v>
      </c>
    </row>
    <row r="2" spans="1:7" x14ac:dyDescent="0.25">
      <c r="A2" s="1" t="s">
        <v>13</v>
      </c>
      <c r="B2" s="18">
        <v>65450704</v>
      </c>
      <c r="D2" s="1" t="s">
        <v>7</v>
      </c>
      <c r="E2" s="18">
        <v>10226205</v>
      </c>
      <c r="G2" s="1" t="s">
        <v>26</v>
      </c>
    </row>
    <row r="3" spans="1:7" x14ac:dyDescent="0.25">
      <c r="A3" s="1" t="s">
        <v>12</v>
      </c>
      <c r="B3" s="18">
        <v>87468496</v>
      </c>
      <c r="D3" s="1" t="s">
        <v>9</v>
      </c>
      <c r="E3" s="18">
        <v>4950000</v>
      </c>
      <c r="G3" s="1" t="s">
        <v>10</v>
      </c>
    </row>
    <row r="4" spans="1:7" x14ac:dyDescent="0.25">
      <c r="A4" s="1" t="s">
        <v>11</v>
      </c>
      <c r="B4" s="18">
        <v>123059739</v>
      </c>
      <c r="D4" s="1" t="s">
        <v>11</v>
      </c>
      <c r="E4" s="18">
        <v>1675215</v>
      </c>
      <c r="G4" s="1" t="s">
        <v>17</v>
      </c>
    </row>
    <row r="5" spans="1:7" x14ac:dyDescent="0.25">
      <c r="A5" s="1" t="s">
        <v>9</v>
      </c>
      <c r="B5" s="18">
        <v>348448000</v>
      </c>
      <c r="D5" s="1" t="s">
        <v>12</v>
      </c>
      <c r="E5" s="18">
        <v>1336575</v>
      </c>
      <c r="G5" s="1" t="s">
        <v>104</v>
      </c>
    </row>
    <row r="6" spans="1:7" x14ac:dyDescent="0.25">
      <c r="A6" s="1" t="s">
        <v>7</v>
      </c>
      <c r="B6" s="18">
        <v>768678382</v>
      </c>
      <c r="D6" s="1" t="s">
        <v>13</v>
      </c>
      <c r="E6" s="18">
        <v>1130820</v>
      </c>
      <c r="G6" s="1" t="s">
        <v>15</v>
      </c>
    </row>
    <row r="7" spans="1:7" x14ac:dyDescent="0.25">
      <c r="A7" s="1" t="s">
        <v>115</v>
      </c>
      <c r="B7" s="18">
        <v>1393105321</v>
      </c>
      <c r="D7" s="1" t="s">
        <v>115</v>
      </c>
      <c r="E7" s="18">
        <v>19318815</v>
      </c>
      <c r="G7" s="1" t="s">
        <v>8</v>
      </c>
    </row>
    <row r="9" spans="1:7" x14ac:dyDescent="0.25">
      <c r="A9" s="2" t="s">
        <v>2</v>
      </c>
      <c r="B9" t="s">
        <v>116</v>
      </c>
      <c r="C9" t="s">
        <v>117</v>
      </c>
      <c r="E9" s="2" t="s">
        <v>127</v>
      </c>
      <c r="F9" t="s">
        <v>119</v>
      </c>
      <c r="G9" t="s">
        <v>120</v>
      </c>
    </row>
    <row r="10" spans="1:7" x14ac:dyDescent="0.25">
      <c r="A10" s="1" t="s">
        <v>8</v>
      </c>
      <c r="B10">
        <v>865588126</v>
      </c>
      <c r="C10" s="3">
        <v>61563</v>
      </c>
      <c r="E10" s="1" t="s">
        <v>26</v>
      </c>
      <c r="F10">
        <v>89681525</v>
      </c>
      <c r="G10" s="4">
        <v>4.7516572840983748E-2</v>
      </c>
    </row>
    <row r="11" spans="1:7" x14ac:dyDescent="0.25">
      <c r="A11" s="1" t="s">
        <v>10</v>
      </c>
      <c r="B11">
        <v>721930425</v>
      </c>
      <c r="C11" s="3">
        <v>46874.879999999997</v>
      </c>
      <c r="E11" s="1" t="s">
        <v>10</v>
      </c>
      <c r="F11">
        <v>721930425</v>
      </c>
      <c r="G11" s="4">
        <v>0.38250531116230296</v>
      </c>
    </row>
    <row r="12" spans="1:7" x14ac:dyDescent="0.25">
      <c r="A12" s="1" t="s">
        <v>15</v>
      </c>
      <c r="B12">
        <v>173995947</v>
      </c>
      <c r="C12" s="3">
        <v>49209.227272727272</v>
      </c>
      <c r="E12" s="1" t="s">
        <v>17</v>
      </c>
      <c r="F12">
        <v>36177574</v>
      </c>
      <c r="G12" s="4">
        <v>1.9168210288362957E-2</v>
      </c>
    </row>
    <row r="13" spans="1:7" x14ac:dyDescent="0.25">
      <c r="A13" s="1" t="s">
        <v>26</v>
      </c>
      <c r="B13">
        <v>89681525</v>
      </c>
      <c r="C13" s="3">
        <v>56275.205128205125</v>
      </c>
      <c r="E13" s="1" t="s">
        <v>15</v>
      </c>
      <c r="F13">
        <v>173995947</v>
      </c>
      <c r="G13" s="4">
        <v>9.2189456966319958E-2</v>
      </c>
    </row>
    <row r="14" spans="1:7" x14ac:dyDescent="0.25">
      <c r="A14" s="1" t="s">
        <v>17</v>
      </c>
      <c r="B14">
        <v>36177574</v>
      </c>
      <c r="C14" s="3">
        <v>40604.75</v>
      </c>
      <c r="E14" s="1" t="s">
        <v>8</v>
      </c>
      <c r="F14">
        <v>865588126</v>
      </c>
      <c r="G14" s="4">
        <v>0.4586204487420304</v>
      </c>
    </row>
    <row r="15" spans="1:7" x14ac:dyDescent="0.25">
      <c r="A15" s="1" t="s">
        <v>104</v>
      </c>
      <c r="B15">
        <v>5823</v>
      </c>
      <c r="C15" s="3">
        <v>65935</v>
      </c>
      <c r="E15" s="1" t="s">
        <v>115</v>
      </c>
      <c r="F15">
        <v>1887373597</v>
      </c>
      <c r="G15" s="4">
        <v>1</v>
      </c>
    </row>
    <row r="16" spans="1:7" x14ac:dyDescent="0.25">
      <c r="A16" s="1" t="s">
        <v>115</v>
      </c>
      <c r="B16">
        <v>1887379420</v>
      </c>
      <c r="C16" s="3">
        <v>52628.058252427181</v>
      </c>
    </row>
    <row r="18" spans="1:7" x14ac:dyDescent="0.25">
      <c r="A18" s="2" t="s">
        <v>1</v>
      </c>
      <c r="B18" t="s">
        <v>121</v>
      </c>
    </row>
    <row r="19" spans="1:7" x14ac:dyDescent="0.25">
      <c r="A19" s="1" t="s">
        <v>51</v>
      </c>
      <c r="B19" s="18">
        <v>107630</v>
      </c>
      <c r="G19" t="s">
        <v>128</v>
      </c>
    </row>
    <row r="20" spans="1:7" x14ac:dyDescent="0.25">
      <c r="A20" s="1" t="s">
        <v>29</v>
      </c>
      <c r="B20" s="18">
        <v>112120</v>
      </c>
      <c r="G20" t="s">
        <v>128</v>
      </c>
    </row>
    <row r="21" spans="1:7" x14ac:dyDescent="0.25">
      <c r="A21" s="1" t="s">
        <v>25</v>
      </c>
      <c r="B21" s="18">
        <v>115031</v>
      </c>
    </row>
    <row r="22" spans="1:7" x14ac:dyDescent="0.25">
      <c r="A22" s="1" t="s">
        <v>68</v>
      </c>
      <c r="B22" s="18">
        <v>118085</v>
      </c>
    </row>
    <row r="23" spans="1:7" x14ac:dyDescent="0.25">
      <c r="A23" s="1" t="s">
        <v>18</v>
      </c>
      <c r="B23" s="18">
        <v>129049</v>
      </c>
    </row>
    <row r="24" spans="1:7" x14ac:dyDescent="0.25">
      <c r="A24" s="1" t="s">
        <v>115</v>
      </c>
      <c r="B24" s="18">
        <v>116383</v>
      </c>
    </row>
    <row r="27" spans="1:7" x14ac:dyDescent="0.25">
      <c r="A27" s="11" t="s">
        <v>116</v>
      </c>
      <c r="C27" s="5" t="s">
        <v>124</v>
      </c>
    </row>
    <row r="28" spans="1:7" x14ac:dyDescent="0.25">
      <c r="A28" s="10">
        <f>IFERROR(IF(Dashboard!$D$7="Select All",SUMIF(Data!H:H,"Yes",Data!D:D),SUMIFS(Data!D:D,Data!B:B,Dashboard!$D$7,Data!H:H,"Yes"))," - ")</f>
        <v>123059739</v>
      </c>
      <c r="C28" s="6" t="s">
        <v>7</v>
      </c>
    </row>
    <row r="29" spans="1:7" x14ac:dyDescent="0.25">
      <c r="C29" s="7" t="s">
        <v>9</v>
      </c>
    </row>
    <row r="30" spans="1:7" x14ac:dyDescent="0.25">
      <c r="A30" s="12" t="s">
        <v>118</v>
      </c>
      <c r="C30" s="6" t="s">
        <v>11</v>
      </c>
    </row>
    <row r="31" spans="1:7" x14ac:dyDescent="0.25">
      <c r="A31" s="10">
        <f>IFERROR(IF(Dashboard!$D$7="Select All",SUMIF(Data!H:H,"Yes",Data!F:F),SUMIFS(Data!F:F,Data!B:B,Dashboard!$D$7,Data!H:H,"Yes"))," - ")</f>
        <v>1675215</v>
      </c>
      <c r="C31" s="7" t="s">
        <v>12</v>
      </c>
    </row>
    <row r="32" spans="1:7" x14ac:dyDescent="0.25">
      <c r="C32" s="6" t="s">
        <v>13</v>
      </c>
    </row>
    <row r="33" spans="1:3" x14ac:dyDescent="0.25">
      <c r="A33" s="12" t="s">
        <v>125</v>
      </c>
      <c r="C33" s="7" t="s">
        <v>14</v>
      </c>
    </row>
    <row r="34" spans="1:3" x14ac:dyDescent="0.25">
      <c r="A34" s="10">
        <f>IFERROR(IF(Dashboard!$D$7="Select All",AVERAGEIF(Data!H:H,"Yes",Data!G:G),AVERAGEIFS(Data!G:G,Data!B:B,Dashboard!$D$7,Data!H:H,"Yes"))," - ")</f>
        <v>73459</v>
      </c>
      <c r="C34" s="6" t="s">
        <v>16</v>
      </c>
    </row>
    <row r="35" spans="1:3" x14ac:dyDescent="0.25">
      <c r="C35" s="7" t="s">
        <v>17</v>
      </c>
    </row>
    <row r="36" spans="1:3" x14ac:dyDescent="0.25">
      <c r="A36" t="s">
        <v>126</v>
      </c>
      <c r="C36" s="6" t="s">
        <v>18</v>
      </c>
    </row>
    <row r="37" spans="1:3" x14ac:dyDescent="0.25">
      <c r="A37" s="18">
        <v>103</v>
      </c>
      <c r="C37" s="7" t="s">
        <v>19</v>
      </c>
    </row>
    <row r="38" spans="1:3" x14ac:dyDescent="0.25">
      <c r="C38" s="6" t="s">
        <v>20</v>
      </c>
    </row>
    <row r="39" spans="1:3" x14ac:dyDescent="0.25">
      <c r="C39" s="7" t="s">
        <v>21</v>
      </c>
    </row>
    <row r="40" spans="1:3" x14ac:dyDescent="0.25">
      <c r="C40" s="6" t="s">
        <v>22</v>
      </c>
    </row>
    <row r="41" spans="1:3" x14ac:dyDescent="0.25">
      <c r="C41" s="7" t="s">
        <v>23</v>
      </c>
    </row>
    <row r="42" spans="1:3" x14ac:dyDescent="0.25">
      <c r="C42" s="6" t="s">
        <v>24</v>
      </c>
    </row>
    <row r="43" spans="1:3" x14ac:dyDescent="0.25">
      <c r="C43" s="7" t="s">
        <v>25</v>
      </c>
    </row>
    <row r="44" spans="1:3" x14ac:dyDescent="0.25">
      <c r="C44" s="6" t="s">
        <v>27</v>
      </c>
    </row>
    <row r="45" spans="1:3" x14ac:dyDescent="0.25">
      <c r="C45" s="7" t="s">
        <v>28</v>
      </c>
    </row>
    <row r="46" spans="1:3" x14ac:dyDescent="0.25">
      <c r="C46" s="6" t="s">
        <v>29</v>
      </c>
    </row>
    <row r="47" spans="1:3" x14ac:dyDescent="0.25">
      <c r="C47" s="7" t="s">
        <v>30</v>
      </c>
    </row>
    <row r="48" spans="1:3" x14ac:dyDescent="0.25">
      <c r="C48" s="6" t="s">
        <v>31</v>
      </c>
    </row>
    <row r="49" spans="1:3" x14ac:dyDescent="0.25">
      <c r="C49" s="7" t="s">
        <v>32</v>
      </c>
    </row>
    <row r="50" spans="1:3" x14ac:dyDescent="0.25">
      <c r="C50" s="6" t="s">
        <v>33</v>
      </c>
    </row>
    <row r="51" spans="1:3" x14ac:dyDescent="0.25">
      <c r="C51" s="7" t="s">
        <v>34</v>
      </c>
    </row>
    <row r="52" spans="1:3" x14ac:dyDescent="0.25">
      <c r="C52" s="6" t="s">
        <v>35</v>
      </c>
    </row>
    <row r="53" spans="1:3" x14ac:dyDescent="0.25">
      <c r="C53" s="7" t="s">
        <v>36</v>
      </c>
    </row>
    <row r="54" spans="1:3" x14ac:dyDescent="0.25">
      <c r="C54" s="6" t="s">
        <v>37</v>
      </c>
    </row>
    <row r="55" spans="1:3" x14ac:dyDescent="0.25">
      <c r="C55" s="7" t="s">
        <v>38</v>
      </c>
    </row>
    <row r="56" spans="1:3" x14ac:dyDescent="0.25">
      <c r="C56" s="6" t="s">
        <v>39</v>
      </c>
    </row>
    <row r="57" spans="1:3" x14ac:dyDescent="0.25">
      <c r="C57" s="7" t="s">
        <v>40</v>
      </c>
    </row>
    <row r="58" spans="1:3" x14ac:dyDescent="0.25">
      <c r="C58" s="6" t="s">
        <v>41</v>
      </c>
    </row>
    <row r="59" spans="1:3" x14ac:dyDescent="0.25">
      <c r="A59" s="9"/>
      <c r="C59" s="7" t="s">
        <v>42</v>
      </c>
    </row>
    <row r="60" spans="1:3" x14ac:dyDescent="0.25">
      <c r="A60" s="9"/>
      <c r="C60" s="6" t="s">
        <v>43</v>
      </c>
    </row>
    <row r="61" spans="1:3" x14ac:dyDescent="0.25">
      <c r="A61" s="10"/>
      <c r="C61" s="7" t="s">
        <v>44</v>
      </c>
    </row>
    <row r="62" spans="1:3" x14ac:dyDescent="0.25">
      <c r="C62" s="6" t="s">
        <v>45</v>
      </c>
    </row>
    <row r="63" spans="1:3" x14ac:dyDescent="0.25">
      <c r="C63" s="7" t="s">
        <v>46</v>
      </c>
    </row>
    <row r="64" spans="1:3" x14ac:dyDescent="0.25">
      <c r="C64" s="6" t="s">
        <v>47</v>
      </c>
    </row>
    <row r="65" spans="3:3" x14ac:dyDescent="0.25">
      <c r="C65" s="7" t="s">
        <v>48</v>
      </c>
    </row>
    <row r="66" spans="3:3" x14ac:dyDescent="0.25">
      <c r="C66" s="6" t="s">
        <v>49</v>
      </c>
    </row>
    <row r="67" spans="3:3" x14ac:dyDescent="0.25">
      <c r="C67" s="7" t="s">
        <v>50</v>
      </c>
    </row>
    <row r="68" spans="3:3" x14ac:dyDescent="0.25">
      <c r="C68" s="6" t="s">
        <v>51</v>
      </c>
    </row>
    <row r="69" spans="3:3" x14ac:dyDescent="0.25">
      <c r="C69" s="7" t="s">
        <v>52</v>
      </c>
    </row>
    <row r="70" spans="3:3" x14ac:dyDescent="0.25">
      <c r="C70" s="6" t="s">
        <v>53</v>
      </c>
    </row>
    <row r="71" spans="3:3" x14ac:dyDescent="0.25">
      <c r="C71" s="7" t="s">
        <v>54</v>
      </c>
    </row>
    <row r="72" spans="3:3" x14ac:dyDescent="0.25">
      <c r="C72" s="6" t="s">
        <v>55</v>
      </c>
    </row>
    <row r="73" spans="3:3" x14ac:dyDescent="0.25">
      <c r="C73" s="7" t="s">
        <v>56</v>
      </c>
    </row>
    <row r="74" spans="3:3" x14ac:dyDescent="0.25">
      <c r="C74" s="6" t="s">
        <v>57</v>
      </c>
    </row>
    <row r="75" spans="3:3" x14ac:dyDescent="0.25">
      <c r="C75" s="7" t="s">
        <v>58</v>
      </c>
    </row>
    <row r="76" spans="3:3" x14ac:dyDescent="0.25">
      <c r="C76" s="6" t="s">
        <v>59</v>
      </c>
    </row>
    <row r="77" spans="3:3" x14ac:dyDescent="0.25">
      <c r="C77" s="7" t="s">
        <v>60</v>
      </c>
    </row>
    <row r="78" spans="3:3" x14ac:dyDescent="0.25">
      <c r="C78" s="6" t="s">
        <v>61</v>
      </c>
    </row>
    <row r="79" spans="3:3" x14ac:dyDescent="0.25">
      <c r="C79" s="7" t="s">
        <v>62</v>
      </c>
    </row>
    <row r="80" spans="3:3" x14ac:dyDescent="0.25">
      <c r="C80" s="6" t="s">
        <v>63</v>
      </c>
    </row>
    <row r="81" spans="3:3" x14ac:dyDescent="0.25">
      <c r="C81" s="7" t="s">
        <v>64</v>
      </c>
    </row>
    <row r="82" spans="3:3" x14ac:dyDescent="0.25">
      <c r="C82" s="6" t="s">
        <v>65</v>
      </c>
    </row>
    <row r="83" spans="3:3" x14ac:dyDescent="0.25">
      <c r="C83" s="7" t="s">
        <v>66</v>
      </c>
    </row>
    <row r="84" spans="3:3" x14ac:dyDescent="0.25">
      <c r="C84" s="6" t="s">
        <v>67</v>
      </c>
    </row>
    <row r="85" spans="3:3" x14ac:dyDescent="0.25">
      <c r="C85" s="7" t="s">
        <v>68</v>
      </c>
    </row>
    <row r="86" spans="3:3" x14ac:dyDescent="0.25">
      <c r="C86" s="6" t="s">
        <v>69</v>
      </c>
    </row>
    <row r="87" spans="3:3" x14ac:dyDescent="0.25">
      <c r="C87" s="7" t="s">
        <v>70</v>
      </c>
    </row>
    <row r="88" spans="3:3" x14ac:dyDescent="0.25">
      <c r="C88" s="6" t="s">
        <v>71</v>
      </c>
    </row>
    <row r="89" spans="3:3" x14ac:dyDescent="0.25">
      <c r="C89" s="7" t="s">
        <v>72</v>
      </c>
    </row>
    <row r="90" spans="3:3" x14ac:dyDescent="0.25">
      <c r="C90" s="6" t="s">
        <v>73</v>
      </c>
    </row>
    <row r="91" spans="3:3" x14ac:dyDescent="0.25">
      <c r="C91" s="7" t="s">
        <v>74</v>
      </c>
    </row>
    <row r="92" spans="3:3" x14ac:dyDescent="0.25">
      <c r="C92" s="6" t="s">
        <v>75</v>
      </c>
    </row>
    <row r="93" spans="3:3" x14ac:dyDescent="0.25">
      <c r="C93" s="7" t="s">
        <v>76</v>
      </c>
    </row>
    <row r="94" spans="3:3" x14ac:dyDescent="0.25">
      <c r="C94" s="6" t="s">
        <v>77</v>
      </c>
    </row>
    <row r="95" spans="3:3" x14ac:dyDescent="0.25">
      <c r="C95" s="7" t="s">
        <v>78</v>
      </c>
    </row>
    <row r="96" spans="3:3" x14ac:dyDescent="0.25">
      <c r="C96" s="6" t="s">
        <v>79</v>
      </c>
    </row>
    <row r="97" spans="3:3" x14ac:dyDescent="0.25">
      <c r="C97" s="7" t="s">
        <v>80</v>
      </c>
    </row>
    <row r="98" spans="3:3" x14ac:dyDescent="0.25">
      <c r="C98" s="6" t="s">
        <v>81</v>
      </c>
    </row>
    <row r="99" spans="3:3" x14ac:dyDescent="0.25">
      <c r="C99" s="7" t="s">
        <v>82</v>
      </c>
    </row>
    <row r="100" spans="3:3" x14ac:dyDescent="0.25">
      <c r="C100" s="6" t="s">
        <v>83</v>
      </c>
    </row>
    <row r="101" spans="3:3" x14ac:dyDescent="0.25">
      <c r="C101" s="7" t="s">
        <v>84</v>
      </c>
    </row>
    <row r="102" spans="3:3" x14ac:dyDescent="0.25">
      <c r="C102" s="6" t="s">
        <v>85</v>
      </c>
    </row>
    <row r="103" spans="3:3" x14ac:dyDescent="0.25">
      <c r="C103" s="7" t="s">
        <v>86</v>
      </c>
    </row>
    <row r="104" spans="3:3" x14ac:dyDescent="0.25">
      <c r="C104" s="6" t="s">
        <v>87</v>
      </c>
    </row>
    <row r="105" spans="3:3" x14ac:dyDescent="0.25">
      <c r="C105" s="7" t="s">
        <v>88</v>
      </c>
    </row>
    <row r="106" spans="3:3" x14ac:dyDescent="0.25">
      <c r="C106" s="6" t="s">
        <v>89</v>
      </c>
    </row>
    <row r="107" spans="3:3" x14ac:dyDescent="0.25">
      <c r="C107" s="7" t="s">
        <v>90</v>
      </c>
    </row>
    <row r="108" spans="3:3" x14ac:dyDescent="0.25">
      <c r="C108" s="6" t="s">
        <v>91</v>
      </c>
    </row>
    <row r="109" spans="3:3" x14ac:dyDescent="0.25">
      <c r="C109" s="7" t="s">
        <v>92</v>
      </c>
    </row>
    <row r="110" spans="3:3" x14ac:dyDescent="0.25">
      <c r="C110" s="6" t="s">
        <v>93</v>
      </c>
    </row>
    <row r="111" spans="3:3" x14ac:dyDescent="0.25">
      <c r="C111" s="7" t="s">
        <v>94</v>
      </c>
    </row>
    <row r="112" spans="3:3" x14ac:dyDescent="0.25">
      <c r="C112" s="6" t="s">
        <v>95</v>
      </c>
    </row>
    <row r="113" spans="3:3" x14ac:dyDescent="0.25">
      <c r="C113" s="7" t="s">
        <v>96</v>
      </c>
    </row>
    <row r="114" spans="3:3" x14ac:dyDescent="0.25">
      <c r="C114" s="6" t="s">
        <v>97</v>
      </c>
    </row>
    <row r="115" spans="3:3" x14ac:dyDescent="0.25">
      <c r="C115" s="7" t="s">
        <v>98</v>
      </c>
    </row>
    <row r="116" spans="3:3" x14ac:dyDescent="0.25">
      <c r="C116" s="6" t="s">
        <v>99</v>
      </c>
    </row>
    <row r="117" spans="3:3" x14ac:dyDescent="0.25">
      <c r="C117" s="7" t="s">
        <v>100</v>
      </c>
    </row>
    <row r="118" spans="3:3" x14ac:dyDescent="0.25">
      <c r="C118" s="6" t="s">
        <v>101</v>
      </c>
    </row>
    <row r="119" spans="3:3" x14ac:dyDescent="0.25">
      <c r="C119" s="7" t="s">
        <v>102</v>
      </c>
    </row>
    <row r="120" spans="3:3" x14ac:dyDescent="0.25">
      <c r="C120" s="6" t="s">
        <v>103</v>
      </c>
    </row>
    <row r="121" spans="3:3" x14ac:dyDescent="0.25">
      <c r="C121" s="7" t="s">
        <v>105</v>
      </c>
    </row>
    <row r="122" spans="3:3" x14ac:dyDescent="0.25">
      <c r="C122" s="6" t="s">
        <v>106</v>
      </c>
    </row>
    <row r="123" spans="3:3" x14ac:dyDescent="0.25">
      <c r="C123" s="7" t="s">
        <v>107</v>
      </c>
    </row>
    <row r="124" spans="3:3" x14ac:dyDescent="0.25">
      <c r="C124" s="6" t="s">
        <v>108</v>
      </c>
    </row>
    <row r="125" spans="3:3" x14ac:dyDescent="0.25">
      <c r="C125" s="7" t="s">
        <v>109</v>
      </c>
    </row>
    <row r="126" spans="3:3" x14ac:dyDescent="0.25">
      <c r="C126" s="6" t="s">
        <v>110</v>
      </c>
    </row>
    <row r="127" spans="3:3" x14ac:dyDescent="0.25">
      <c r="C127" s="7" t="s">
        <v>111</v>
      </c>
    </row>
    <row r="128" spans="3:3" x14ac:dyDescent="0.25">
      <c r="C128" s="6" t="s">
        <v>112</v>
      </c>
    </row>
    <row r="129" spans="3:3" x14ac:dyDescent="0.25">
      <c r="C129" s="7" t="s">
        <v>113</v>
      </c>
    </row>
    <row r="130" spans="3:3" x14ac:dyDescent="0.25">
      <c r="C130" s="6" t="s">
        <v>114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20DAB-BAD1-4867-AB55-F14E0F5CD5AD}">
  <sheetPr>
    <pageSetUpPr autoPageBreaks="0"/>
  </sheetPr>
  <dimension ref="A1:T24"/>
  <sheetViews>
    <sheetView showGridLines="0" tabSelected="1" zoomScaleNormal="100" workbookViewId="0">
      <selection activeCell="D7" sqref="D7:E7"/>
    </sheetView>
  </sheetViews>
  <sheetFormatPr defaultRowHeight="15" x14ac:dyDescent="0.25"/>
  <sheetData>
    <row r="1" spans="1:20" x14ac:dyDescent="0.25">
      <c r="A1" s="8"/>
      <c r="B1" s="8"/>
      <c r="C1" s="8"/>
      <c r="D1" s="8"/>
      <c r="E1" s="8"/>
      <c r="F1" s="8"/>
      <c r="G1" s="8"/>
      <c r="H1" s="8"/>
      <c r="I1" s="8"/>
      <c r="J1" s="8"/>
      <c r="K1" s="8"/>
      <c r="L1" s="8"/>
      <c r="M1" s="8"/>
      <c r="N1" s="8"/>
      <c r="O1" s="8"/>
      <c r="P1" s="8"/>
      <c r="Q1" s="8"/>
      <c r="R1" s="8"/>
      <c r="S1" s="8"/>
      <c r="T1" s="8"/>
    </row>
    <row r="2" spans="1:20" x14ac:dyDescent="0.25">
      <c r="A2" s="8"/>
      <c r="B2" s="8"/>
      <c r="C2" s="8"/>
      <c r="D2" s="8"/>
      <c r="E2" s="8"/>
      <c r="F2" s="8"/>
      <c r="G2" s="8"/>
      <c r="H2" s="8"/>
      <c r="I2" s="8"/>
      <c r="J2" s="8"/>
      <c r="K2" s="8"/>
      <c r="L2" s="8"/>
      <c r="M2" s="8"/>
      <c r="N2" s="8"/>
      <c r="O2" s="8"/>
      <c r="P2" s="8"/>
      <c r="Q2" s="8"/>
      <c r="R2" s="8"/>
      <c r="S2" s="8"/>
      <c r="T2" s="8"/>
    </row>
    <row r="3" spans="1:20" x14ac:dyDescent="0.25">
      <c r="A3" s="8"/>
      <c r="B3" s="8"/>
      <c r="C3" s="8"/>
      <c r="D3" s="8"/>
      <c r="E3" s="8"/>
      <c r="F3" s="8"/>
      <c r="G3" s="8"/>
      <c r="H3" s="8"/>
      <c r="I3" s="8"/>
      <c r="J3" s="8"/>
      <c r="K3" s="8"/>
      <c r="L3" s="8"/>
      <c r="M3" s="8"/>
      <c r="N3" s="8"/>
      <c r="O3" s="8"/>
      <c r="P3" s="8"/>
      <c r="Q3" s="8"/>
      <c r="R3" s="8"/>
      <c r="S3" s="8"/>
      <c r="T3" s="8"/>
    </row>
    <row r="4" spans="1:20" x14ac:dyDescent="0.25">
      <c r="A4" s="8"/>
      <c r="B4" s="8"/>
      <c r="C4" s="8"/>
      <c r="D4" s="8"/>
      <c r="E4" s="8"/>
      <c r="F4" s="8"/>
      <c r="G4" s="8"/>
      <c r="H4" s="8"/>
      <c r="I4" s="8"/>
      <c r="J4" s="8"/>
      <c r="K4" s="8"/>
      <c r="L4" s="8"/>
      <c r="M4" s="8"/>
      <c r="N4" s="8"/>
      <c r="O4" s="8"/>
      <c r="P4" s="8"/>
      <c r="Q4" s="8"/>
      <c r="R4" s="8"/>
      <c r="S4" s="8"/>
      <c r="T4" s="8"/>
    </row>
    <row r="5" spans="1:20" ht="12" customHeight="1" x14ac:dyDescent="0.25">
      <c r="A5" s="8"/>
      <c r="B5" s="8"/>
      <c r="C5" s="8"/>
      <c r="D5" s="13"/>
      <c r="E5" s="13"/>
      <c r="F5" s="8"/>
      <c r="G5" s="8"/>
      <c r="H5" s="8"/>
      <c r="I5" s="8"/>
      <c r="J5" s="8"/>
      <c r="K5" s="8"/>
      <c r="L5" s="8"/>
      <c r="M5" s="8"/>
      <c r="N5" s="8"/>
      <c r="O5" s="8"/>
      <c r="P5" s="8"/>
      <c r="Q5" s="8"/>
      <c r="R5" s="8"/>
      <c r="S5" s="8"/>
      <c r="T5" s="8"/>
    </row>
    <row r="6" spans="1:20" x14ac:dyDescent="0.25">
      <c r="A6" s="8"/>
      <c r="B6" s="8"/>
      <c r="C6" s="8"/>
      <c r="D6" s="14" t="s">
        <v>123</v>
      </c>
      <c r="E6" s="15"/>
      <c r="F6" s="8"/>
      <c r="G6" s="8"/>
      <c r="H6" s="8"/>
      <c r="I6" s="8"/>
      <c r="J6" s="8"/>
      <c r="K6" s="8"/>
      <c r="L6" s="8"/>
      <c r="M6" s="8"/>
      <c r="N6" s="8"/>
      <c r="O6" s="8"/>
      <c r="P6" s="8"/>
      <c r="Q6" s="8"/>
      <c r="R6" s="8"/>
      <c r="S6" s="8"/>
      <c r="T6" s="8"/>
    </row>
    <row r="7" spans="1:20" x14ac:dyDescent="0.25">
      <c r="A7" s="8"/>
      <c r="B7" s="8"/>
      <c r="C7" s="8"/>
      <c r="D7" s="16" t="s">
        <v>11</v>
      </c>
      <c r="E7" s="17"/>
      <c r="F7" s="8"/>
      <c r="G7" s="8"/>
      <c r="H7" s="8"/>
      <c r="I7" s="8"/>
      <c r="J7" s="8"/>
      <c r="K7" s="8"/>
      <c r="L7" s="8"/>
      <c r="M7" s="8"/>
      <c r="N7" s="8"/>
      <c r="O7" s="8"/>
      <c r="P7" s="8"/>
      <c r="Q7" s="8"/>
      <c r="R7" s="8"/>
      <c r="S7" s="8"/>
      <c r="T7" s="8"/>
    </row>
    <row r="8" spans="1:20" x14ac:dyDescent="0.25">
      <c r="A8" s="8"/>
      <c r="B8" s="8"/>
      <c r="C8" s="8"/>
      <c r="D8" s="8"/>
      <c r="E8" s="8"/>
      <c r="F8" s="8"/>
      <c r="G8" s="8"/>
      <c r="H8" s="8"/>
      <c r="I8" s="8"/>
      <c r="J8" s="8"/>
      <c r="K8" s="8"/>
      <c r="L8" s="8"/>
      <c r="M8" s="8"/>
      <c r="N8" s="8"/>
      <c r="O8" s="8"/>
      <c r="P8" s="8"/>
      <c r="Q8" s="8"/>
      <c r="R8" s="8"/>
      <c r="S8" s="8"/>
      <c r="T8" s="8"/>
    </row>
    <row r="9" spans="1:20" x14ac:dyDescent="0.25">
      <c r="A9" s="8"/>
      <c r="B9" s="8"/>
      <c r="C9" s="8"/>
      <c r="D9" s="8"/>
      <c r="E9" s="8"/>
      <c r="F9" s="8"/>
      <c r="G9" s="8"/>
      <c r="H9" s="8"/>
      <c r="I9" s="8"/>
      <c r="J9" s="8"/>
      <c r="K9" s="8"/>
      <c r="L9" s="8"/>
      <c r="M9" s="8"/>
      <c r="N9" s="8"/>
      <c r="O9" s="8"/>
      <c r="P9" s="8"/>
      <c r="Q9" s="8"/>
      <c r="R9" s="8"/>
      <c r="S9" s="8"/>
      <c r="T9" s="8"/>
    </row>
    <row r="10" spans="1:20" x14ac:dyDescent="0.25">
      <c r="A10" s="8"/>
      <c r="B10" s="8"/>
      <c r="C10" s="8"/>
      <c r="D10" s="8"/>
      <c r="E10" s="8"/>
      <c r="F10" s="8"/>
      <c r="G10" s="8"/>
      <c r="H10" s="8"/>
      <c r="I10" s="8"/>
      <c r="J10" s="8"/>
      <c r="K10" s="8"/>
      <c r="L10" s="8"/>
      <c r="M10" s="8"/>
      <c r="N10" s="8"/>
      <c r="O10" s="8"/>
      <c r="P10" s="8"/>
      <c r="Q10" s="8"/>
      <c r="R10" s="8"/>
      <c r="S10" s="8"/>
      <c r="T10" s="8"/>
    </row>
    <row r="11" spans="1:20" x14ac:dyDescent="0.25">
      <c r="A11" s="8"/>
      <c r="B11" s="8"/>
      <c r="C11" s="8"/>
      <c r="D11" s="8"/>
      <c r="E11" s="8"/>
      <c r="F11" s="8"/>
      <c r="G11" s="8"/>
      <c r="H11" s="8"/>
      <c r="I11" s="8"/>
      <c r="J11" s="8"/>
      <c r="K11" s="8"/>
      <c r="L11" s="8"/>
      <c r="M11" s="8"/>
      <c r="N11" s="8"/>
      <c r="O11" s="8"/>
      <c r="P11" s="8"/>
      <c r="Q11" s="8"/>
      <c r="R11" s="8"/>
      <c r="S11" s="8"/>
      <c r="T11" s="8"/>
    </row>
    <row r="12" spans="1:20" x14ac:dyDescent="0.25">
      <c r="A12" s="8"/>
      <c r="B12" s="8"/>
      <c r="C12" s="8"/>
      <c r="D12" s="8"/>
      <c r="E12" s="8"/>
      <c r="F12" s="8"/>
      <c r="G12" s="8"/>
      <c r="H12" s="8"/>
      <c r="I12" s="8"/>
      <c r="J12" s="8"/>
      <c r="K12" s="8"/>
      <c r="L12" s="8"/>
      <c r="M12" s="8"/>
      <c r="N12" s="8"/>
      <c r="O12" s="8"/>
      <c r="P12" s="8"/>
      <c r="Q12" s="8"/>
      <c r="R12" s="8"/>
      <c r="S12" s="8"/>
      <c r="T12" s="8"/>
    </row>
    <row r="13" spans="1:20" x14ac:dyDescent="0.25">
      <c r="A13" s="8"/>
      <c r="B13" s="8"/>
      <c r="C13" s="8"/>
      <c r="D13" s="8"/>
      <c r="E13" s="8"/>
      <c r="F13" s="8"/>
      <c r="G13" s="8"/>
      <c r="H13" s="8"/>
      <c r="I13" s="8"/>
      <c r="J13" s="8"/>
      <c r="K13" s="8"/>
      <c r="L13" s="8"/>
      <c r="M13" s="8"/>
      <c r="N13" s="8"/>
      <c r="O13" s="8"/>
      <c r="P13" s="8"/>
      <c r="Q13" s="8"/>
      <c r="R13" s="8"/>
      <c r="S13" s="8"/>
      <c r="T13" s="8"/>
    </row>
    <row r="14" spans="1:20" x14ac:dyDescent="0.25">
      <c r="A14" s="8"/>
      <c r="B14" s="8"/>
      <c r="C14" s="8"/>
      <c r="D14" s="8"/>
      <c r="E14" s="8"/>
      <c r="F14" s="8"/>
      <c r="G14" s="8"/>
      <c r="H14" s="8"/>
      <c r="I14" s="8"/>
      <c r="J14" s="8"/>
      <c r="K14" s="8"/>
      <c r="L14" s="8"/>
      <c r="M14" s="8"/>
      <c r="N14" s="8"/>
      <c r="O14" s="8"/>
      <c r="P14" s="8"/>
      <c r="Q14" s="8"/>
      <c r="R14" s="8"/>
      <c r="S14" s="8"/>
      <c r="T14" s="8"/>
    </row>
    <row r="15" spans="1:20" x14ac:dyDescent="0.25">
      <c r="A15" s="8"/>
      <c r="B15" s="8"/>
      <c r="C15" s="8"/>
      <c r="D15" s="8"/>
      <c r="E15" s="8"/>
      <c r="F15" s="8"/>
      <c r="G15" s="8"/>
      <c r="H15" s="8"/>
      <c r="I15" s="8"/>
      <c r="J15" s="8"/>
      <c r="K15" s="8"/>
      <c r="L15" s="8"/>
      <c r="M15" s="8"/>
      <c r="N15" s="8"/>
      <c r="O15" s="8"/>
      <c r="P15" s="8"/>
      <c r="Q15" s="8"/>
      <c r="R15" s="8"/>
      <c r="S15" s="8"/>
      <c r="T15" s="8"/>
    </row>
    <row r="16" spans="1:20" x14ac:dyDescent="0.25">
      <c r="A16" s="8"/>
      <c r="B16" s="8"/>
      <c r="C16" s="8"/>
      <c r="D16" s="8"/>
      <c r="E16" s="8"/>
      <c r="F16" s="8"/>
      <c r="G16" s="8"/>
      <c r="H16" s="8"/>
      <c r="I16" s="8"/>
      <c r="J16" s="8"/>
      <c r="K16" s="8"/>
      <c r="L16" s="8"/>
      <c r="M16" s="8"/>
      <c r="N16" s="8"/>
      <c r="O16" s="8"/>
      <c r="P16" s="8"/>
      <c r="Q16" s="8"/>
      <c r="R16" s="8"/>
      <c r="S16" s="8"/>
      <c r="T16" s="8"/>
    </row>
    <row r="17" spans="1:20" x14ac:dyDescent="0.25">
      <c r="A17" s="8"/>
      <c r="B17" s="8"/>
      <c r="C17" s="8"/>
      <c r="D17" s="8"/>
      <c r="E17" s="8"/>
      <c r="F17" s="8"/>
      <c r="G17" s="8"/>
      <c r="H17" s="8"/>
      <c r="I17" s="8"/>
      <c r="J17" s="8"/>
      <c r="K17" s="8"/>
      <c r="L17" s="8"/>
      <c r="M17" s="8"/>
      <c r="N17" s="8"/>
      <c r="O17" s="8"/>
      <c r="P17" s="8"/>
      <c r="Q17" s="8"/>
      <c r="R17" s="8"/>
      <c r="S17" s="8"/>
      <c r="T17" s="8"/>
    </row>
    <row r="18" spans="1:20" x14ac:dyDescent="0.25">
      <c r="A18" s="8"/>
      <c r="B18" s="8"/>
      <c r="C18" s="8"/>
      <c r="D18" s="8"/>
      <c r="E18" s="8"/>
      <c r="F18" s="8"/>
      <c r="G18" s="8"/>
      <c r="H18" s="8"/>
      <c r="I18" s="8"/>
      <c r="J18" s="8"/>
      <c r="K18" s="8"/>
      <c r="L18" s="8"/>
      <c r="M18" s="8"/>
      <c r="N18" s="8"/>
      <c r="O18" s="8"/>
      <c r="P18" s="8"/>
      <c r="Q18" s="8"/>
      <c r="R18" s="8"/>
      <c r="S18" s="8"/>
      <c r="T18" s="8"/>
    </row>
    <row r="19" spans="1:20" x14ac:dyDescent="0.25">
      <c r="A19" s="8"/>
      <c r="B19" s="8"/>
      <c r="C19" s="8"/>
      <c r="D19" s="8"/>
      <c r="E19" s="8"/>
      <c r="F19" s="8"/>
      <c r="G19" s="8"/>
      <c r="H19" s="8"/>
      <c r="I19" s="8"/>
      <c r="J19" s="8"/>
      <c r="K19" s="8"/>
      <c r="L19" s="8"/>
      <c r="M19" s="8"/>
      <c r="N19" s="8"/>
      <c r="O19" s="8"/>
      <c r="P19" s="8"/>
      <c r="Q19" s="8"/>
      <c r="R19" s="8"/>
      <c r="S19" s="8"/>
      <c r="T19" s="8"/>
    </row>
    <row r="20" spans="1:20" x14ac:dyDescent="0.25">
      <c r="A20" s="8"/>
      <c r="B20" s="8"/>
      <c r="C20" s="8"/>
      <c r="D20" s="8"/>
      <c r="E20" s="8"/>
      <c r="F20" s="8"/>
      <c r="G20" s="8"/>
      <c r="H20" s="8"/>
      <c r="I20" s="8"/>
      <c r="J20" s="8"/>
      <c r="K20" s="8"/>
      <c r="L20" s="8"/>
      <c r="M20" s="8"/>
      <c r="N20" s="8"/>
      <c r="O20" s="8"/>
      <c r="P20" s="8"/>
      <c r="Q20" s="8"/>
      <c r="R20" s="8"/>
      <c r="S20" s="8"/>
      <c r="T20" s="8"/>
    </row>
    <row r="21" spans="1:20" x14ac:dyDescent="0.25">
      <c r="A21" s="8"/>
      <c r="B21" s="8"/>
      <c r="C21" s="8"/>
      <c r="D21" s="8"/>
      <c r="E21" s="8"/>
      <c r="F21" s="8"/>
      <c r="G21" s="8"/>
      <c r="H21" s="8"/>
      <c r="I21" s="8"/>
      <c r="J21" s="8"/>
      <c r="K21" s="8"/>
      <c r="L21" s="8"/>
      <c r="M21" s="8"/>
      <c r="N21" s="8"/>
      <c r="O21" s="8"/>
      <c r="P21" s="8"/>
      <c r="Q21" s="8"/>
      <c r="R21" s="8"/>
      <c r="S21" s="8"/>
      <c r="T21" s="8"/>
    </row>
    <row r="22" spans="1:20" x14ac:dyDescent="0.25">
      <c r="A22" s="8"/>
      <c r="B22" s="8"/>
      <c r="C22" s="8"/>
      <c r="D22" s="8"/>
      <c r="E22" s="8"/>
      <c r="F22" s="8"/>
      <c r="G22" s="8"/>
      <c r="H22" s="8"/>
      <c r="I22" s="8"/>
      <c r="J22" s="8"/>
      <c r="K22" s="8"/>
      <c r="L22" s="8"/>
      <c r="M22" s="8"/>
      <c r="N22" s="8"/>
      <c r="O22" s="8"/>
      <c r="P22" s="8"/>
      <c r="Q22" s="8"/>
      <c r="R22" s="8"/>
      <c r="S22" s="8"/>
      <c r="T22" s="8"/>
    </row>
    <row r="23" spans="1:20" x14ac:dyDescent="0.25">
      <c r="A23" s="8"/>
      <c r="B23" s="8"/>
      <c r="C23" s="8"/>
      <c r="D23" s="8"/>
      <c r="E23" s="8"/>
      <c r="F23" s="8"/>
      <c r="G23" s="8"/>
      <c r="H23" s="8"/>
      <c r="I23" s="8"/>
      <c r="J23" s="8"/>
      <c r="K23" s="8"/>
      <c r="L23" s="8"/>
      <c r="M23" s="8"/>
      <c r="N23" s="8"/>
      <c r="O23" s="8"/>
      <c r="P23" s="8"/>
      <c r="Q23" s="8"/>
      <c r="R23" s="8"/>
      <c r="S23" s="8"/>
      <c r="T23" s="8"/>
    </row>
    <row r="24" spans="1:20" x14ac:dyDescent="0.25">
      <c r="A24" s="8"/>
      <c r="B24" s="8"/>
      <c r="C24" s="8"/>
      <c r="D24" s="8"/>
      <c r="E24" s="8"/>
      <c r="F24" s="8"/>
      <c r="G24" s="8"/>
      <c r="H24" s="8"/>
      <c r="I24" s="8"/>
      <c r="J24" s="8"/>
      <c r="K24" s="8"/>
      <c r="L24" s="8"/>
      <c r="M24" s="8"/>
      <c r="N24" s="8"/>
      <c r="O24" s="8"/>
      <c r="P24" s="8"/>
      <c r="Q24" s="8"/>
      <c r="R24" s="8"/>
      <c r="S24" s="8"/>
      <c r="T24" s="8"/>
    </row>
  </sheetData>
  <sheetProtection algorithmName="SHA-512" hashValue="KwQJNg2u5NrscZKWRZCK4f6x2Jqd6dMRfLkTZY0f7td0eytUicdJ5S+ohlQxmKg8OpxmXcsvmQejbOgQeJ+P7g==" saltValue="UL1nxxhIsSuVtDoBKv5fjQ==" spinCount="100000" sheet="1" selectLockedCells="1" autoFilter="0" pivotTables="0"/>
  <mergeCells count="3">
    <mergeCell ref="D5:E5"/>
    <mergeCell ref="D6:E6"/>
    <mergeCell ref="D7:E7"/>
  </mergeCells>
  <pageMargins left="0.7" right="0.7" top="0.75" bottom="0.75" header="0.3" footer="0.3"/>
  <pageSetup orientation="portrait" r:id="rId1"/>
  <colBreaks count="1" manualBreakCount="1">
    <brk id="9" max="49"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C18AB5E-A8B1-4D54-9854-7C5790D7BAF7}">
          <x14:formula1>
            <xm:f>Analysis!$C$27:$C$130</xm:f>
          </x14:formula1>
          <xm:sqref>D7</xm:sqref>
        </x14:dataValidation>
      </x14:dataValidation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98B0E9-D5A5-45CE-B40D-CBBD6C25CA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yogendra singh</dc:creator>
  <cp:lastModifiedBy>yogendra singh</cp:lastModifiedBy>
  <dcterms:created xsi:type="dcterms:W3CDTF">2026-04-09T06:52:14Z</dcterms:created>
  <dcterms:modified xsi:type="dcterms:W3CDTF">2026-04-20T14:20:43Z</dcterms:modified>
</cp:coreProperties>
</file>